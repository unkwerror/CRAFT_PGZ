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YandexDisk\ЭКОНОМИКА ПРОЕКТОВ\"/>
    </mc:Choice>
  </mc:AlternateContent>
  <xr:revisionPtr revIDLastSave="0" documentId="13_ncr:1_{4D4AB51B-7C67-4EF1-A3D5-572735A85F00}" xr6:coauthVersionLast="37" xr6:coauthVersionMax="37" xr10:uidLastSave="{00000000-0000-0000-0000-000000000000}"/>
  <bookViews>
    <workbookView xWindow="360" yWindow="15" windowWidth="20955" windowHeight="9720" activeTab="1" xr2:uid="{00000000-000D-0000-FFFF-FFFF00000000}"/>
  </bookViews>
  <sheets>
    <sheet name="В РАБОТЕ" sheetId="1" r:id="rId1"/>
    <sheet name="ПРЕДВАРИТЕЛЬНЫЕ проекты" sheetId="2" r:id="rId2"/>
  </sheets>
  <definedNames>
    <definedName name="Print_Area" localSheetId="0">'В РАБОТЕ'!$A$371:$F$396</definedName>
    <definedName name="Print_Area" localSheetId="1">'ПРЕДВАРИТЕЛЬНЫЕ проекты'!$A$367:$K$403</definedName>
  </definedNames>
  <calcPr calcId="179021"/>
</workbook>
</file>

<file path=xl/calcChain.xml><?xml version="1.0" encoding="utf-8"?>
<calcChain xmlns="http://schemas.openxmlformats.org/spreadsheetml/2006/main">
  <c r="C3174" i="2" l="1"/>
  <c r="D3156" i="2"/>
  <c r="D3158" i="2" l="1"/>
  <c r="D3129" i="2"/>
  <c r="C3147" i="2"/>
  <c r="C3119" i="2"/>
  <c r="D3111" i="2"/>
  <c r="D3112" i="2" s="1"/>
  <c r="G3105" i="2"/>
  <c r="C3096" i="2"/>
  <c r="D3088" i="2"/>
  <c r="D3093" i="2" s="1"/>
  <c r="G3082" i="2"/>
  <c r="C3073" i="2"/>
  <c r="D3058" i="2"/>
  <c r="D3054" i="2"/>
  <c r="D3052" i="2"/>
  <c r="G3052" i="2" s="1"/>
  <c r="C3032" i="2"/>
  <c r="D3003" i="2"/>
  <c r="D3030" i="2" s="1"/>
  <c r="D2994" i="2"/>
  <c r="H2992" i="2"/>
  <c r="D2992" i="2"/>
  <c r="D2993" i="2" s="1"/>
  <c r="H2991" i="2"/>
  <c r="H2990" i="2"/>
  <c r="C2968" i="2"/>
  <c r="D2965" i="2"/>
  <c r="D2943" i="2"/>
  <c r="D2944" i="2" s="1"/>
  <c r="H2942" i="2"/>
  <c r="H2941" i="2"/>
  <c r="C2924" i="2"/>
  <c r="D2922" i="2"/>
  <c r="D2901" i="2"/>
  <c r="H2896" i="2"/>
  <c r="H2895" i="2"/>
  <c r="K2895" i="2" s="1"/>
  <c r="H2894" i="2"/>
  <c r="D2894" i="2"/>
  <c r="H2893" i="2"/>
  <c r="K2893" i="2" s="1"/>
  <c r="H2892" i="2"/>
  <c r="D2892" i="2"/>
  <c r="M2892" i="2" s="1"/>
  <c r="C2875" i="2"/>
  <c r="D2873" i="2"/>
  <c r="D2852" i="2"/>
  <c r="D2858" i="2" s="1"/>
  <c r="H2848" i="2"/>
  <c r="H2847" i="2"/>
  <c r="H2846" i="2"/>
  <c r="D2846" i="2"/>
  <c r="H2845" i="2"/>
  <c r="H2844" i="2"/>
  <c r="C2828" i="2"/>
  <c r="D2826" i="2"/>
  <c r="D2805" i="2"/>
  <c r="D2816" i="2" s="1"/>
  <c r="H2801" i="2"/>
  <c r="H2800" i="2"/>
  <c r="H2799" i="2"/>
  <c r="D2799" i="2"/>
  <c r="H2798" i="2"/>
  <c r="H2797" i="2"/>
  <c r="C2781" i="2"/>
  <c r="D2779" i="2"/>
  <c r="D2758" i="2"/>
  <c r="D2771" i="2" s="1"/>
  <c r="H2754" i="2"/>
  <c r="H2753" i="2"/>
  <c r="H2752" i="2"/>
  <c r="D2752" i="2"/>
  <c r="H2751" i="2"/>
  <c r="H2750" i="2"/>
  <c r="C2734" i="2"/>
  <c r="D2732" i="2"/>
  <c r="D2711" i="2"/>
  <c r="H2707" i="2"/>
  <c r="H2706" i="2"/>
  <c r="H2705" i="2"/>
  <c r="D2705" i="2"/>
  <c r="H2704" i="2"/>
  <c r="H2703" i="2"/>
  <c r="C2687" i="2"/>
  <c r="D2685" i="2"/>
  <c r="D2664" i="2"/>
  <c r="D2681" i="2" s="1"/>
  <c r="H2660" i="2"/>
  <c r="H2659" i="2"/>
  <c r="H2658" i="2"/>
  <c r="D2658" i="2"/>
  <c r="H2657" i="2"/>
  <c r="H2656" i="2"/>
  <c r="C2640" i="2"/>
  <c r="D2638" i="2"/>
  <c r="D2617" i="2"/>
  <c r="D2636" i="2" s="1"/>
  <c r="H2613" i="2"/>
  <c r="H2612" i="2"/>
  <c r="H2611" i="2"/>
  <c r="D2611" i="2"/>
  <c r="H2610" i="2"/>
  <c r="H2609" i="2"/>
  <c r="D2594" i="2"/>
  <c r="D2593" i="2"/>
  <c r="D2592" i="2"/>
  <c r="D2591" i="2"/>
  <c r="C2589" i="2"/>
  <c r="D2588" i="2"/>
  <c r="D2566" i="2"/>
  <c r="D2583" i="2" s="1"/>
  <c r="D2554" i="2"/>
  <c r="H2553" i="2"/>
  <c r="H2552" i="2"/>
  <c r="C2546" i="2"/>
  <c r="C2543" i="2"/>
  <c r="D2534" i="2"/>
  <c r="D2535" i="2" s="1"/>
  <c r="C2525" i="2"/>
  <c r="D2511" i="2"/>
  <c r="H2510" i="2"/>
  <c r="H2509" i="2"/>
  <c r="H2508" i="2"/>
  <c r="H2507" i="2"/>
  <c r="C2487" i="2"/>
  <c r="D2484" i="2"/>
  <c r="D2463" i="2"/>
  <c r="D2481" i="2" s="1"/>
  <c r="D2459" i="2"/>
  <c r="D2445" i="2"/>
  <c r="H2443" i="2"/>
  <c r="H2442" i="2"/>
  <c r="H2441" i="2"/>
  <c r="D2441" i="2"/>
  <c r="H2440" i="2"/>
  <c r="C2433" i="2"/>
  <c r="D2431" i="2"/>
  <c r="D2410" i="2"/>
  <c r="D2434" i="2" s="1"/>
  <c r="H2406" i="2"/>
  <c r="H2405" i="2"/>
  <c r="H2404" i="2"/>
  <c r="D2404" i="2"/>
  <c r="H2403" i="2"/>
  <c r="H2402" i="2"/>
  <c r="C2397" i="2"/>
  <c r="D2395" i="2"/>
  <c r="D2372" i="2"/>
  <c r="D2371" i="2" s="1"/>
  <c r="D2370" i="2"/>
  <c r="E2365" i="2"/>
  <c r="D2361" i="2"/>
  <c r="D2360" i="2"/>
  <c r="D2354" i="2"/>
  <c r="C2347" i="2"/>
  <c r="D2345" i="2"/>
  <c r="D2322" i="2"/>
  <c r="D2309" i="2"/>
  <c r="D2304" i="2"/>
  <c r="D2302" i="2"/>
  <c r="H2305" i="2" s="1"/>
  <c r="C2297" i="2"/>
  <c r="D2295" i="2"/>
  <c r="D2271" i="2"/>
  <c r="E2265" i="2"/>
  <c r="D2258" i="2"/>
  <c r="D2253" i="2"/>
  <c r="D2251" i="2"/>
  <c r="H2253" i="2" s="1"/>
  <c r="C2246" i="2"/>
  <c r="D2244" i="2"/>
  <c r="D2226" i="2"/>
  <c r="D2215" i="2"/>
  <c r="D2210" i="2"/>
  <c r="D2208" i="2"/>
  <c r="C2203" i="2"/>
  <c r="D2201" i="2"/>
  <c r="D2177" i="2"/>
  <c r="D2165" i="2"/>
  <c r="D2160" i="2"/>
  <c r="D2158" i="2"/>
  <c r="D2151" i="2"/>
  <c r="C2147" i="2"/>
  <c r="D2145" i="2"/>
  <c r="D2123" i="2"/>
  <c r="D2150" i="2" s="1"/>
  <c r="G2118" i="2"/>
  <c r="H2116" i="2"/>
  <c r="H2115" i="2"/>
  <c r="H2114" i="2"/>
  <c r="D2114" i="2"/>
  <c r="H2113" i="2"/>
  <c r="D2102" i="2"/>
  <c r="D2100" i="2"/>
  <c r="C2096" i="2"/>
  <c r="D2091" i="2"/>
  <c r="D2085" i="2"/>
  <c r="D2086" i="2" s="1"/>
  <c r="D2081" i="2"/>
  <c r="D2078" i="2"/>
  <c r="D2062" i="2"/>
  <c r="C2059" i="2"/>
  <c r="D2045" i="2"/>
  <c r="D2041" i="2"/>
  <c r="D2039" i="2"/>
  <c r="H2038" i="2"/>
  <c r="H2037" i="2"/>
  <c r="D2032" i="2"/>
  <c r="D2031" i="2"/>
  <c r="D2030" i="2"/>
  <c r="D2029" i="2"/>
  <c r="D2028" i="2"/>
  <c r="D2022" i="2"/>
  <c r="D2021" i="2"/>
  <c r="D2020" i="2"/>
  <c r="D2019" i="2"/>
  <c r="D2018" i="2"/>
  <c r="H2016" i="2"/>
  <c r="C2011" i="2"/>
  <c r="D1988" i="2"/>
  <c r="D2000" i="2" s="1"/>
  <c r="H1984" i="2"/>
  <c r="H1983" i="2"/>
  <c r="H1982" i="2"/>
  <c r="C1971" i="2"/>
  <c r="D1953" i="2"/>
  <c r="H1951" i="2"/>
  <c r="H1950" i="2"/>
  <c r="H1949" i="2"/>
  <c r="H1948" i="2"/>
  <c r="C1942" i="2"/>
  <c r="D1925" i="2"/>
  <c r="D1928" i="2" s="1"/>
  <c r="C1909" i="2"/>
  <c r="D1900" i="2"/>
  <c r="D1905" i="2" s="1"/>
  <c r="C1891" i="2"/>
  <c r="D1873" i="2"/>
  <c r="D1868" i="2"/>
  <c r="H1869" i="2" s="1"/>
  <c r="C1863" i="2"/>
  <c r="D1845" i="2"/>
  <c r="D1862" i="2" s="1"/>
  <c r="D1841" i="2"/>
  <c r="C1818" i="2"/>
  <c r="D1802" i="2"/>
  <c r="D1812" i="2" s="1"/>
  <c r="H1800" i="2"/>
  <c r="H1799" i="2"/>
  <c r="H1798" i="2"/>
  <c r="D1782" i="2"/>
  <c r="D1781" i="2"/>
  <c r="D1780" i="2"/>
  <c r="D1779" i="2"/>
  <c r="C1777" i="2"/>
  <c r="D1776" i="2"/>
  <c r="D1754" i="2"/>
  <c r="D1759" i="2" s="1"/>
  <c r="D1742" i="2"/>
  <c r="H1741" i="2"/>
  <c r="H1740" i="2"/>
  <c r="D1723" i="2"/>
  <c r="D1722" i="2"/>
  <c r="D1721" i="2"/>
  <c r="D1720" i="2"/>
  <c r="C1718" i="2"/>
  <c r="D1717" i="2"/>
  <c r="D1712" i="2"/>
  <c r="D1711" i="2"/>
  <c r="D1695" i="2"/>
  <c r="D1706" i="2" s="1"/>
  <c r="D1683" i="2"/>
  <c r="H1682" i="2"/>
  <c r="H1681" i="2"/>
  <c r="D1666" i="2"/>
  <c r="C1663" i="2"/>
  <c r="D1649" i="2"/>
  <c r="D1664" i="2" s="1"/>
  <c r="D1644" i="2"/>
  <c r="D1642" i="2"/>
  <c r="H1641" i="2"/>
  <c r="H1640" i="2"/>
  <c r="C1635" i="2"/>
  <c r="D1632" i="2"/>
  <c r="D1611" i="2"/>
  <c r="D1617" i="2" s="1"/>
  <c r="D1607" i="2"/>
  <c r="D1592" i="2"/>
  <c r="D1587" i="2"/>
  <c r="C1567" i="2"/>
  <c r="D1548" i="2"/>
  <c r="D1555" i="2" s="1"/>
  <c r="D1542" i="2"/>
  <c r="H1541" i="2"/>
  <c r="H1540" i="2"/>
  <c r="D1540" i="2"/>
  <c r="H1539" i="2"/>
  <c r="H1538" i="2"/>
  <c r="C1519" i="2"/>
  <c r="D1493" i="2"/>
  <c r="D1503" i="2" s="1"/>
  <c r="H1487" i="2"/>
  <c r="D1487" i="2"/>
  <c r="H1486" i="2"/>
  <c r="H1485" i="2"/>
  <c r="H1484" i="2"/>
  <c r="H1483" i="2"/>
  <c r="C1474" i="2"/>
  <c r="D1465" i="2"/>
  <c r="D1472" i="2" s="1"/>
  <c r="C1446" i="2"/>
  <c r="D1427" i="2"/>
  <c r="D1445" i="2" s="1"/>
  <c r="D1421" i="2"/>
  <c r="H1420" i="2"/>
  <c r="H1419" i="2"/>
  <c r="D1419" i="2"/>
  <c r="H1418" i="2"/>
  <c r="H1417" i="2"/>
  <c r="C1412" i="2"/>
  <c r="D1392" i="2"/>
  <c r="D1404" i="2" s="1"/>
  <c r="D1388" i="2"/>
  <c r="D1378" i="2"/>
  <c r="D1374" i="2"/>
  <c r="D1370" i="2"/>
  <c r="D1367" i="2"/>
  <c r="C1361" i="2"/>
  <c r="D1341" i="2"/>
  <c r="D1343" i="2" s="1"/>
  <c r="D1337" i="2"/>
  <c r="D1327" i="2"/>
  <c r="D1323" i="2"/>
  <c r="D1319" i="2"/>
  <c r="D1316" i="2"/>
  <c r="C1310" i="2"/>
  <c r="D1290" i="2"/>
  <c r="D1307" i="2" s="1"/>
  <c r="D1286" i="2"/>
  <c r="D1276" i="2"/>
  <c r="D1272" i="2"/>
  <c r="D1268" i="2"/>
  <c r="D1265" i="2"/>
  <c r="C1259" i="2"/>
  <c r="D1239" i="2"/>
  <c r="D1247" i="2" s="1"/>
  <c r="D1235" i="2"/>
  <c r="D1225" i="2"/>
  <c r="D1221" i="2"/>
  <c r="D1217" i="2"/>
  <c r="D1214" i="2"/>
  <c r="D1205" i="2"/>
  <c r="D1204" i="2"/>
  <c r="C1200" i="2"/>
  <c r="D1198" i="2"/>
  <c r="D1178" i="2"/>
  <c r="D1183" i="2" s="1"/>
  <c r="D1170" i="2"/>
  <c r="C1163" i="2"/>
  <c r="D1144" i="2"/>
  <c r="D1156" i="2" s="1"/>
  <c r="D1142" i="2"/>
  <c r="D1137" i="2"/>
  <c r="H1135" i="2"/>
  <c r="D1135" i="2"/>
  <c r="H1134" i="2"/>
  <c r="H1133" i="2"/>
  <c r="C1128" i="2"/>
  <c r="D1109" i="2"/>
  <c r="D1120" i="2" s="1"/>
  <c r="D1103" i="2"/>
  <c r="H1102" i="2"/>
  <c r="H1101" i="2"/>
  <c r="D1101" i="2"/>
  <c r="H1100" i="2"/>
  <c r="H1099" i="2"/>
  <c r="C1094" i="2"/>
  <c r="D1076" i="2"/>
  <c r="D1093" i="2" s="1"/>
  <c r="D1072" i="2"/>
  <c r="D1063" i="2"/>
  <c r="D1059" i="2"/>
  <c r="D1054" i="2"/>
  <c r="D1051" i="2"/>
  <c r="C1044" i="2"/>
  <c r="D1026" i="2"/>
  <c r="D1035" i="2" s="1"/>
  <c r="D1022" i="2"/>
  <c r="D1013" i="2"/>
  <c r="D1009" i="2"/>
  <c r="D1004" i="2"/>
  <c r="D1001" i="2"/>
  <c r="C994" i="2"/>
  <c r="D975" i="2"/>
  <c r="D971" i="2"/>
  <c r="D962" i="2"/>
  <c r="D958" i="2"/>
  <c r="D953" i="2"/>
  <c r="D950" i="2"/>
  <c r="D941" i="2"/>
  <c r="C937" i="2"/>
  <c r="D935" i="2"/>
  <c r="D915" i="2"/>
  <c r="D936" i="2" s="1"/>
  <c r="D907" i="2"/>
  <c r="D898" i="2"/>
  <c r="C894" i="2"/>
  <c r="D892" i="2"/>
  <c r="D872" i="2"/>
  <c r="D864" i="2"/>
  <c r="C857" i="2"/>
  <c r="D850" i="2"/>
  <c r="D852" i="2" s="1"/>
  <c r="C843" i="2"/>
  <c r="D836" i="2"/>
  <c r="D841" i="2" s="1"/>
  <c r="C829" i="2"/>
  <c r="D811" i="2"/>
  <c r="D830" i="2" s="1"/>
  <c r="H810" i="2"/>
  <c r="H809" i="2"/>
  <c r="H808" i="2"/>
  <c r="H807" i="2"/>
  <c r="C777" i="2"/>
  <c r="H769" i="2"/>
  <c r="D769" i="2"/>
  <c r="D776" i="2" s="1"/>
  <c r="H768" i="2"/>
  <c r="H767" i="2"/>
  <c r="H766" i="2"/>
  <c r="C760" i="2"/>
  <c r="H752" i="2"/>
  <c r="D752" i="2"/>
  <c r="D761" i="2" s="1"/>
  <c r="H751" i="2"/>
  <c r="H750" i="2"/>
  <c r="H749" i="2"/>
  <c r="C744" i="2"/>
  <c r="H732" i="2"/>
  <c r="D732" i="2"/>
  <c r="D742" i="2" s="1"/>
  <c r="H731" i="2"/>
  <c r="H730" i="2"/>
  <c r="H729" i="2"/>
  <c r="D725" i="2"/>
  <c r="D726" i="2" s="1"/>
  <c r="C726" i="2" s="1"/>
  <c r="H673" i="2"/>
  <c r="J673" i="2" s="1"/>
  <c r="H672" i="2"/>
  <c r="J672" i="2" s="1"/>
  <c r="H671" i="2"/>
  <c r="J671" i="2" s="1"/>
  <c r="H670" i="2"/>
  <c r="J670" i="2" s="1"/>
  <c r="C665" i="2"/>
  <c r="D647" i="2"/>
  <c r="D648" i="2" s="1"/>
  <c r="H646" i="2"/>
  <c r="H645" i="2"/>
  <c r="H644" i="2"/>
  <c r="H643" i="2"/>
  <c r="D597" i="2"/>
  <c r="D608" i="2" s="1"/>
  <c r="H588" i="2"/>
  <c r="H587" i="2"/>
  <c r="H586" i="2"/>
  <c r="H585" i="2"/>
  <c r="E578" i="2"/>
  <c r="E579" i="2" s="1"/>
  <c r="C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C536" i="2"/>
  <c r="D522" i="2"/>
  <c r="D528" i="2" s="1"/>
  <c r="J520" i="2"/>
  <c r="J519" i="2"/>
  <c r="J518" i="2"/>
  <c r="J517" i="2"/>
  <c r="C503" i="2"/>
  <c r="C504" i="2" s="1"/>
  <c r="D485" i="2"/>
  <c r="D502" i="2" s="1"/>
  <c r="J479" i="2"/>
  <c r="J478" i="2"/>
  <c r="J477" i="2"/>
  <c r="J476" i="2"/>
  <c r="C465" i="2"/>
  <c r="D451" i="2"/>
  <c r="D461" i="2" s="1"/>
  <c r="J445" i="2"/>
  <c r="J444" i="2"/>
  <c r="J443" i="2"/>
  <c r="C432" i="2"/>
  <c r="D412" i="2"/>
  <c r="D431" i="2" s="1"/>
  <c r="J409" i="2"/>
  <c r="J408" i="2"/>
  <c r="J407" i="2"/>
  <c r="C394" i="2"/>
  <c r="D374" i="2"/>
  <c r="D383" i="2" s="1"/>
  <c r="J371" i="2"/>
  <c r="J370" i="2"/>
  <c r="J369" i="2"/>
  <c r="C356" i="2"/>
  <c r="D338" i="2"/>
  <c r="D351" i="2" s="1"/>
  <c r="J337" i="2"/>
  <c r="J335" i="2"/>
  <c r="J334" i="2"/>
  <c r="J333" i="2"/>
  <c r="C319" i="2"/>
  <c r="J298" i="2"/>
  <c r="J297" i="2"/>
  <c r="J296" i="2"/>
  <c r="D296" i="2"/>
  <c r="D299" i="2" s="1"/>
  <c r="D305" i="2" s="1"/>
  <c r="J295" i="2"/>
  <c r="C282" i="2"/>
  <c r="D267" i="2"/>
  <c r="D279" i="2" s="1"/>
  <c r="J266" i="2"/>
  <c r="J265" i="2"/>
  <c r="J264" i="2"/>
  <c r="J263" i="2"/>
  <c r="E254" i="2"/>
  <c r="E255" i="2" s="1"/>
  <c r="C253" i="2"/>
  <c r="D253" i="2" s="1"/>
  <c r="D252" i="2"/>
  <c r="D251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C213" i="2"/>
  <c r="D213" i="2" s="1"/>
  <c r="D197" i="2"/>
  <c r="D211" i="2" s="1"/>
  <c r="J196" i="2"/>
  <c r="J195" i="2"/>
  <c r="J194" i="2"/>
  <c r="J193" i="2"/>
  <c r="E182" i="2"/>
  <c r="E183" i="2" s="1"/>
  <c r="C181" i="2"/>
  <c r="D181" i="2" s="1"/>
  <c r="D164" i="2"/>
  <c r="E148" i="2"/>
  <c r="E149" i="2" s="1"/>
  <c r="C147" i="2"/>
  <c r="D147" i="2" s="1"/>
  <c r="D130" i="2"/>
  <c r="J129" i="2"/>
  <c r="J128" i="2"/>
  <c r="J127" i="2"/>
  <c r="J126" i="2"/>
  <c r="E113" i="2"/>
  <c r="E114" i="2" s="1"/>
  <c r="C112" i="2"/>
  <c r="D112" i="2" s="1"/>
  <c r="D98" i="2"/>
  <c r="J93" i="2"/>
  <c r="J92" i="2"/>
  <c r="J91" i="2"/>
  <c r="J90" i="2"/>
  <c r="E79" i="2"/>
  <c r="E80" i="2" s="1"/>
  <c r="C78" i="2"/>
  <c r="D78" i="2" s="1"/>
  <c r="D77" i="2"/>
  <c r="D76" i="2"/>
  <c r="D74" i="2"/>
  <c r="D73" i="2"/>
  <c r="D72" i="2"/>
  <c r="D71" i="2"/>
  <c r="D70" i="2"/>
  <c r="D69" i="2"/>
  <c r="D68" i="2"/>
  <c r="J67" i="2"/>
  <c r="D67" i="2"/>
  <c r="J66" i="2"/>
  <c r="D66" i="2"/>
  <c r="J65" i="2"/>
  <c r="D65" i="2"/>
  <c r="J64" i="2"/>
  <c r="D64" i="2"/>
  <c r="J63" i="2"/>
  <c r="D63" i="2"/>
  <c r="J62" i="2"/>
  <c r="D62" i="2"/>
  <c r="J61" i="2"/>
  <c r="J60" i="2"/>
  <c r="E47" i="2"/>
  <c r="E48" i="2" s="1"/>
  <c r="C46" i="2"/>
  <c r="D46" i="2" s="1"/>
  <c r="D45" i="2"/>
  <c r="D44" i="2"/>
  <c r="D42" i="2"/>
  <c r="D41" i="2"/>
  <c r="D40" i="2"/>
  <c r="D39" i="2"/>
  <c r="D38" i="2"/>
  <c r="D37" i="2"/>
  <c r="D36" i="2"/>
  <c r="D35" i="2"/>
  <c r="D34" i="2"/>
  <c r="J33" i="2"/>
  <c r="D33" i="2"/>
  <c r="J32" i="2"/>
  <c r="D32" i="2"/>
  <c r="J31" i="2"/>
  <c r="D31" i="2"/>
  <c r="J30" i="2"/>
  <c r="D30" i="2"/>
  <c r="J29" i="2"/>
  <c r="D29" i="2"/>
  <c r="J28" i="2"/>
  <c r="D28" i="2"/>
  <c r="J27" i="2"/>
  <c r="J26" i="2"/>
  <c r="E14" i="2"/>
  <c r="E15" i="2" s="1"/>
  <c r="C13" i="2"/>
  <c r="D13" i="2" s="1"/>
  <c r="D12" i="2"/>
  <c r="D11" i="2"/>
  <c r="D10" i="2"/>
  <c r="J9" i="2"/>
  <c r="D9" i="2"/>
  <c r="J8" i="2"/>
  <c r="D8" i="2"/>
  <c r="J7" i="2"/>
  <c r="D7" i="2"/>
  <c r="J6" i="2"/>
  <c r="D6" i="2"/>
  <c r="J5" i="2"/>
  <c r="D5" i="2"/>
  <c r="J4" i="2"/>
  <c r="J3" i="2"/>
  <c r="C638" i="1"/>
  <c r="D630" i="1"/>
  <c r="D639" i="1" s="1"/>
  <c r="C624" i="1"/>
  <c r="D619" i="1"/>
  <c r="D620" i="1" s="1"/>
  <c r="C614" i="1"/>
  <c r="D613" i="1"/>
  <c r="D612" i="1"/>
  <c r="D611" i="1"/>
  <c r="D605" i="1"/>
  <c r="D604" i="1"/>
  <c r="D599" i="1"/>
  <c r="D593" i="1"/>
  <c r="C593" i="1" s="1"/>
  <c r="D592" i="1"/>
  <c r="C573" i="1"/>
  <c r="D572" i="1"/>
  <c r="D571" i="1"/>
  <c r="D555" i="1"/>
  <c r="D567" i="1" s="1"/>
  <c r="H554" i="1"/>
  <c r="H553" i="1"/>
  <c r="H552" i="1"/>
  <c r="H551" i="1"/>
  <c r="C532" i="1"/>
  <c r="D531" i="1"/>
  <c r="D534" i="1" s="1"/>
  <c r="C534" i="1" s="1"/>
  <c r="D530" i="1"/>
  <c r="D524" i="1"/>
  <c r="D522" i="1"/>
  <c r="D521" i="1"/>
  <c r="D519" i="1"/>
  <c r="D518" i="1"/>
  <c r="D512" i="1"/>
  <c r="D511" i="1"/>
  <c r="D510" i="1"/>
  <c r="D509" i="1"/>
  <c r="D508" i="1"/>
  <c r="D507" i="1"/>
  <c r="D513" i="1" s="1"/>
  <c r="C513" i="1" s="1"/>
  <c r="D501" i="1"/>
  <c r="D500" i="1"/>
  <c r="D499" i="1"/>
  <c r="D498" i="1"/>
  <c r="D497" i="1"/>
  <c r="D496" i="1"/>
  <c r="D491" i="1"/>
  <c r="D492" i="1" s="1"/>
  <c r="C492" i="1" s="1"/>
  <c r="C491" i="1"/>
  <c r="D490" i="1"/>
  <c r="D489" i="1"/>
  <c r="D488" i="1"/>
  <c r="D487" i="1"/>
  <c r="D486" i="1"/>
  <c r="D480" i="1"/>
  <c r="D479" i="1"/>
  <c r="D478" i="1"/>
  <c r="D477" i="1"/>
  <c r="D476" i="1"/>
  <c r="D481" i="1" s="1"/>
  <c r="C481" i="1" s="1"/>
  <c r="D466" i="1"/>
  <c r="D465" i="1"/>
  <c r="D463" i="1"/>
  <c r="D462" i="1"/>
  <c r="D461" i="1"/>
  <c r="D459" i="1"/>
  <c r="D458" i="1"/>
  <c r="D457" i="1"/>
  <c r="D456" i="1"/>
  <c r="D455" i="1"/>
  <c r="D449" i="1"/>
  <c r="D447" i="1"/>
  <c r="C434" i="1"/>
  <c r="D424" i="1"/>
  <c r="C420" i="1"/>
  <c r="D419" i="1"/>
  <c r="C419" i="1"/>
  <c r="D418" i="1"/>
  <c r="D420" i="1" s="1"/>
  <c r="C418" i="1"/>
  <c r="D413" i="1"/>
  <c r="D412" i="1"/>
  <c r="D410" i="1"/>
  <c r="D409" i="1"/>
  <c r="D408" i="1"/>
  <c r="D407" i="1"/>
  <c r="D406" i="1"/>
  <c r="D405" i="1"/>
  <c r="D401" i="1"/>
  <c r="D415" i="1" s="1"/>
  <c r="C394" i="1"/>
  <c r="D392" i="1"/>
  <c r="D389" i="1"/>
  <c r="D383" i="1"/>
  <c r="D382" i="1"/>
  <c r="D381" i="1"/>
  <c r="D376" i="1"/>
  <c r="D377" i="1" s="1"/>
  <c r="A373" i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E369" i="1"/>
  <c r="E368" i="1"/>
  <c r="C367" i="1"/>
  <c r="D367" i="1" s="1"/>
  <c r="D366" i="1"/>
  <c r="D365" i="1"/>
  <c r="D364" i="1"/>
  <c r="D363" i="1"/>
  <c r="D362" i="1"/>
  <c r="D361" i="1"/>
  <c r="D360" i="1"/>
  <c r="D359" i="1"/>
  <c r="D368" i="1" s="1"/>
  <c r="E354" i="1"/>
  <c r="E353" i="1"/>
  <c r="C352" i="1"/>
  <c r="D352" i="1" s="1"/>
  <c r="D351" i="1"/>
  <c r="D350" i="1"/>
  <c r="D349" i="1"/>
  <c r="D348" i="1"/>
  <c r="D347" i="1"/>
  <c r="D346" i="1"/>
  <c r="D345" i="1"/>
  <c r="D344" i="1"/>
  <c r="D338" i="1"/>
  <c r="E214" i="1"/>
  <c r="E215" i="1" s="1"/>
  <c r="D214" i="1"/>
  <c r="E186" i="1"/>
  <c r="E129" i="1"/>
  <c r="E130" i="1" s="1"/>
  <c r="E99" i="1"/>
  <c r="E66" i="1"/>
  <c r="E67" i="1" s="1"/>
  <c r="E31" i="1"/>
  <c r="E30" i="1"/>
  <c r="E16" i="1"/>
  <c r="E17" i="1" s="1"/>
  <c r="D16" i="1"/>
  <c r="D3168" i="2" l="1"/>
  <c r="D3167" i="2"/>
  <c r="D3173" i="2"/>
  <c r="D3160" i="2"/>
  <c r="D3170" i="2"/>
  <c r="D3172" i="2"/>
  <c r="D3166" i="2"/>
  <c r="D3165" i="2"/>
  <c r="D3171" i="2"/>
  <c r="D3164" i="2"/>
  <c r="D3163" i="2"/>
  <c r="D3169" i="2"/>
  <c r="D3175" i="2"/>
  <c r="D3162" i="2"/>
  <c r="D3161" i="2"/>
  <c r="D3159" i="2"/>
  <c r="D2009" i="2"/>
  <c r="D2008" i="2"/>
  <c r="D1707" i="2"/>
  <c r="D2568" i="2"/>
  <c r="D348" i="2"/>
  <c r="D741" i="2"/>
  <c r="D2569" i="2"/>
  <c r="D2829" i="2"/>
  <c r="D353" i="2"/>
  <c r="D743" i="2"/>
  <c r="D2540" i="2"/>
  <c r="D2572" i="2"/>
  <c r="D354" i="2"/>
  <c r="D1190" i="2"/>
  <c r="D2541" i="2"/>
  <c r="D2573" i="2"/>
  <c r="D1194" i="2"/>
  <c r="D2423" i="2"/>
  <c r="D2542" i="2"/>
  <c r="D2574" i="2"/>
  <c r="D1195" i="2"/>
  <c r="D2429" i="2"/>
  <c r="D2575" i="2"/>
  <c r="D1993" i="2"/>
  <c r="D2430" i="2"/>
  <c r="D2544" i="2"/>
  <c r="D2579" i="2"/>
  <c r="D1998" i="2"/>
  <c r="D2584" i="2"/>
  <c r="D1202" i="2"/>
  <c r="D2001" i="2"/>
  <c r="D2585" i="2"/>
  <c r="D2006" i="2"/>
  <c r="D2586" i="2"/>
  <c r="D2868" i="2"/>
  <c r="D3131" i="2"/>
  <c r="D3133" i="2" s="1"/>
  <c r="D1504" i="2"/>
  <c r="D2477" i="2"/>
  <c r="D1505" i="2"/>
  <c r="D1447" i="2"/>
  <c r="D1158" i="2"/>
  <c r="D342" i="2"/>
  <c r="D1127" i="2"/>
  <c r="D1354" i="2"/>
  <c r="D2359" i="2"/>
  <c r="D1117" i="2"/>
  <c r="D306" i="2"/>
  <c r="D343" i="2"/>
  <c r="D1355" i="2"/>
  <c r="D1556" i="2"/>
  <c r="D1563" i="2"/>
  <c r="D1510" i="2"/>
  <c r="D1352" i="2"/>
  <c r="D308" i="2"/>
  <c r="D344" i="2"/>
  <c r="D1186" i="2"/>
  <c r="D1356" i="2"/>
  <c r="D1994" i="2"/>
  <c r="D2418" i="2"/>
  <c r="D2825" i="2"/>
  <c r="D2869" i="2"/>
  <c r="D1558" i="2"/>
  <c r="D1509" i="2"/>
  <c r="D1118" i="2"/>
  <c r="D1351" i="2"/>
  <c r="D1564" i="2"/>
  <c r="D341" i="2"/>
  <c r="D1126" i="2"/>
  <c r="D309" i="2"/>
  <c r="D346" i="2"/>
  <c r="D1188" i="2"/>
  <c r="D1996" i="2"/>
  <c r="D2419" i="2"/>
  <c r="D2870" i="2"/>
  <c r="D1155" i="2"/>
  <c r="D1125" i="2"/>
  <c r="D1565" i="2"/>
  <c r="D1353" i="2"/>
  <c r="D310" i="2"/>
  <c r="D347" i="2"/>
  <c r="D1189" i="2"/>
  <c r="D1997" i="2"/>
  <c r="D2420" i="2"/>
  <c r="D2539" i="2"/>
  <c r="D413" i="2"/>
  <c r="D1403" i="2"/>
  <c r="D1159" i="2"/>
  <c r="D1309" i="2"/>
  <c r="D1405" i="2"/>
  <c r="D3013" i="2"/>
  <c r="D384" i="2"/>
  <c r="D533" i="2"/>
  <c r="D858" i="2"/>
  <c r="D1160" i="2"/>
  <c r="D2488" i="2"/>
  <c r="D278" i="2"/>
  <c r="D417" i="2"/>
  <c r="D534" i="2"/>
  <c r="D1147" i="2"/>
  <c r="D2464" i="2"/>
  <c r="D3015" i="2"/>
  <c r="D386" i="2"/>
  <c r="D536" i="2"/>
  <c r="D1148" i="2"/>
  <c r="D2465" i="2"/>
  <c r="D3016" i="2"/>
  <c r="D392" i="2"/>
  <c r="D735" i="2"/>
  <c r="D1129" i="2"/>
  <c r="D1149" i="2"/>
  <c r="H2254" i="2"/>
  <c r="D2467" i="2"/>
  <c r="D609" i="2"/>
  <c r="D1112" i="2"/>
  <c r="D1164" i="2"/>
  <c r="D2468" i="2"/>
  <c r="D610" i="2"/>
  <c r="D737" i="2"/>
  <c r="D2135" i="2"/>
  <c r="D2469" i="2"/>
  <c r="D355" i="2"/>
  <c r="D1152" i="2"/>
  <c r="D1203" i="2"/>
  <c r="D2010" i="2"/>
  <c r="D339" i="2"/>
  <c r="D616" i="2"/>
  <c r="D739" i="2"/>
  <c r="D837" i="2"/>
  <c r="D1115" i="2"/>
  <c r="D1153" i="2"/>
  <c r="D1184" i="2"/>
  <c r="D1345" i="2"/>
  <c r="D1813" i="2"/>
  <c r="D1991" i="2"/>
  <c r="D2138" i="2"/>
  <c r="D2416" i="2"/>
  <c r="D2473" i="2"/>
  <c r="D2587" i="2"/>
  <c r="D1308" i="2"/>
  <c r="D276" i="2"/>
  <c r="D415" i="2"/>
  <c r="D532" i="2"/>
  <c r="D1145" i="2"/>
  <c r="D277" i="2"/>
  <c r="D416" i="2"/>
  <c r="D1146" i="2"/>
  <c r="D1408" i="2"/>
  <c r="D3014" i="2"/>
  <c r="D385" i="2"/>
  <c r="D1161" i="2"/>
  <c r="D418" i="2"/>
  <c r="D734" i="2"/>
  <c r="D1162" i="2"/>
  <c r="D3097" i="2"/>
  <c r="D419" i="2"/>
  <c r="D1111" i="2"/>
  <c r="D3017" i="2"/>
  <c r="D393" i="2"/>
  <c r="D422" i="2"/>
  <c r="D736" i="2"/>
  <c r="D1150" i="2"/>
  <c r="D2134" i="2"/>
  <c r="D3020" i="2"/>
  <c r="D423" i="2"/>
  <c r="D1113" i="2"/>
  <c r="D1151" i="2"/>
  <c r="D3031" i="2"/>
  <c r="D611" i="2"/>
  <c r="D738" i="2"/>
  <c r="D1114" i="2"/>
  <c r="D2137" i="2"/>
  <c r="D2415" i="2"/>
  <c r="D2472" i="2"/>
  <c r="D212" i="2"/>
  <c r="D340" i="2"/>
  <c r="D740" i="2"/>
  <c r="D1116" i="2"/>
  <c r="D1154" i="2"/>
  <c r="D1185" i="2"/>
  <c r="D1350" i="2"/>
  <c r="D1817" i="2"/>
  <c r="D1992" i="2"/>
  <c r="D2142" i="2"/>
  <c r="D2417" i="2"/>
  <c r="D2475" i="2"/>
  <c r="D2538" i="2"/>
  <c r="D2567" i="2"/>
  <c r="D2865" i="2"/>
  <c r="D650" i="2"/>
  <c r="D662" i="2"/>
  <c r="D666" i="2"/>
  <c r="D663" i="2"/>
  <c r="D656" i="2"/>
  <c r="D877" i="2"/>
  <c r="D891" i="2"/>
  <c r="D884" i="2"/>
  <c r="D890" i="2"/>
  <c r="D885" i="2"/>
  <c r="D887" i="2"/>
  <c r="D886" i="2"/>
  <c r="D880" i="2"/>
  <c r="D878" i="2"/>
  <c r="D2724" i="2"/>
  <c r="D2728" i="2"/>
  <c r="D2735" i="2"/>
  <c r="D2727" i="2"/>
  <c r="D2719" i="2"/>
  <c r="D2712" i="2"/>
  <c r="D993" i="2"/>
  <c r="D982" i="2"/>
  <c r="D981" i="2"/>
  <c r="D989" i="2"/>
  <c r="D988" i="2"/>
  <c r="D986" i="2"/>
  <c r="D985" i="2"/>
  <c r="D983" i="2"/>
  <c r="D2679" i="2"/>
  <c r="D145" i="2"/>
  <c r="D141" i="2"/>
  <c r="D144" i="2"/>
  <c r="D138" i="2"/>
  <c r="D143" i="2"/>
  <c r="D139" i="2"/>
  <c r="D131" i="2"/>
  <c r="D142" i="2"/>
  <c r="D980" i="2"/>
  <c r="D1885" i="2"/>
  <c r="D1880" i="2"/>
  <c r="D1881" i="2"/>
  <c r="D1882" i="2"/>
  <c r="D1886" i="2"/>
  <c r="D1969" i="2"/>
  <c r="D1963" i="2"/>
  <c r="D1968" i="2"/>
  <c r="D1962" i="2"/>
  <c r="D1970" i="2"/>
  <c r="D1961" i="2"/>
  <c r="D1960" i="2"/>
  <c r="D1958" i="2"/>
  <c r="D1959" i="2"/>
  <c r="D1956" i="2"/>
  <c r="D1955" i="2"/>
  <c r="D1954" i="2"/>
  <c r="D842" i="2"/>
  <c r="D844" i="2"/>
  <c r="D1964" i="2"/>
  <c r="D180" i="2"/>
  <c r="D168" i="2"/>
  <c r="D167" i="2"/>
  <c r="D179" i="2"/>
  <c r="D171" i="2"/>
  <c r="D178" i="2"/>
  <c r="D170" i="2"/>
  <c r="D172" i="2"/>
  <c r="D1967" i="2"/>
  <c r="H2161" i="2"/>
  <c r="H2159" i="2"/>
  <c r="H2158" i="2"/>
  <c r="D2181" i="2"/>
  <c r="D2186" i="2" s="1"/>
  <c r="H2162" i="2"/>
  <c r="H2160" i="2"/>
  <c r="D2352" i="2"/>
  <c r="H2352" i="2" s="1"/>
  <c r="D165" i="2"/>
  <c r="D1932" i="2"/>
  <c r="D1929" i="2"/>
  <c r="D1937" i="2"/>
  <c r="D1931" i="2"/>
  <c r="D1936" i="2"/>
  <c r="D1933" i="2"/>
  <c r="D2088" i="2"/>
  <c r="D2090" i="2"/>
  <c r="D2089" i="2"/>
  <c r="D2087" i="2"/>
  <c r="D2096" i="2" s="1"/>
  <c r="D2097" i="2" s="1"/>
  <c r="C2097" i="2" s="1"/>
  <c r="D2677" i="2"/>
  <c r="D2676" i="2"/>
  <c r="D2675" i="2"/>
  <c r="D2668" i="2"/>
  <c r="D2684" i="2"/>
  <c r="D2674" i="2"/>
  <c r="D2672" i="2"/>
  <c r="D2669" i="2"/>
  <c r="D2665" i="2"/>
  <c r="D2673" i="2"/>
  <c r="D2688" i="2"/>
  <c r="D2667" i="2"/>
  <c r="D1966" i="2"/>
  <c r="D1444" i="2"/>
  <c r="D1434" i="2"/>
  <c r="D1431" i="2"/>
  <c r="D1440" i="2"/>
  <c r="D1439" i="2"/>
  <c r="D1436" i="2"/>
  <c r="D1433" i="2"/>
  <c r="D1432" i="2"/>
  <c r="D1435" i="2"/>
  <c r="D1927" i="2"/>
  <c r="D1409" i="2"/>
  <c r="D268" i="2"/>
  <c r="D452" i="2"/>
  <c r="D617" i="2"/>
  <c r="D812" i="2"/>
  <c r="D1410" i="2"/>
  <c r="D1696" i="2"/>
  <c r="D2762" i="2"/>
  <c r="D282" i="2"/>
  <c r="D494" i="2"/>
  <c r="D599" i="2"/>
  <c r="D1396" i="2"/>
  <c r="D1471" i="2"/>
  <c r="D1514" i="2"/>
  <c r="D1699" i="2"/>
  <c r="D1847" i="2"/>
  <c r="D2763" i="2"/>
  <c r="D457" i="2"/>
  <c r="D817" i="2"/>
  <c r="D1515" i="2"/>
  <c r="D1766" i="2"/>
  <c r="D2144" i="2"/>
  <c r="D2808" i="2"/>
  <c r="D206" i="2"/>
  <c r="D271" i="2"/>
  <c r="D319" i="2"/>
  <c r="D349" i="2"/>
  <c r="D378" i="2"/>
  <c r="D424" i="2"/>
  <c r="D458" i="2"/>
  <c r="D496" i="2"/>
  <c r="D525" i="2"/>
  <c r="D603" i="2"/>
  <c r="D620" i="2"/>
  <c r="D819" i="2"/>
  <c r="D853" i="2"/>
  <c r="D1119" i="2"/>
  <c r="D1196" i="2"/>
  <c r="D1297" i="2"/>
  <c r="D1357" i="2"/>
  <c r="D1398" i="2"/>
  <c r="D1413" i="2"/>
  <c r="D1473" i="2"/>
  <c r="D1498" i="2"/>
  <c r="D1516" i="2"/>
  <c r="D1551" i="2"/>
  <c r="D1652" i="2"/>
  <c r="D1701" i="2"/>
  <c r="D1767" i="2"/>
  <c r="D1807" i="2"/>
  <c r="D1853" i="2"/>
  <c r="D2127" i="2"/>
  <c r="D2424" i="2"/>
  <c r="D2576" i="2"/>
  <c r="D2772" i="2"/>
  <c r="D2809" i="2"/>
  <c r="D3005" i="2"/>
  <c r="D3022" i="2"/>
  <c r="D280" i="2"/>
  <c r="D1758" i="2"/>
  <c r="D269" i="2"/>
  <c r="D456" i="2"/>
  <c r="D523" i="2"/>
  <c r="D618" i="2"/>
  <c r="D1716" i="2"/>
  <c r="D2143" i="2"/>
  <c r="D600" i="2"/>
  <c r="D939" i="2"/>
  <c r="D1397" i="2"/>
  <c r="D1550" i="2"/>
  <c r="D208" i="2"/>
  <c r="D272" i="2"/>
  <c r="D379" i="2"/>
  <c r="D429" i="2"/>
  <c r="D460" i="2"/>
  <c r="D497" i="2"/>
  <c r="D526" i="2"/>
  <c r="D604" i="2"/>
  <c r="D621" i="2"/>
  <c r="D745" i="2"/>
  <c r="D771" i="2"/>
  <c r="D820" i="2"/>
  <c r="D854" i="2"/>
  <c r="D1121" i="2"/>
  <c r="D1181" i="2"/>
  <c r="D1197" i="2"/>
  <c r="D1298" i="2"/>
  <c r="D1399" i="2"/>
  <c r="D1499" i="2"/>
  <c r="D1517" i="2"/>
  <c r="D1552" i="2"/>
  <c r="D1653" i="2"/>
  <c r="D1702" i="2"/>
  <c r="D1770" i="2"/>
  <c r="D1808" i="2"/>
  <c r="D1854" i="2"/>
  <c r="D2002" i="2"/>
  <c r="D2130" i="2"/>
  <c r="D2146" i="2"/>
  <c r="D2411" i="2"/>
  <c r="D2425" i="2"/>
  <c r="D2476" i="2"/>
  <c r="D2577" i="2"/>
  <c r="D2810" i="2"/>
  <c r="D3006" i="2"/>
  <c r="D3026" i="2"/>
  <c r="D1714" i="2"/>
  <c r="D281" i="2"/>
  <c r="D1394" i="2"/>
  <c r="D1470" i="2"/>
  <c r="D1715" i="2"/>
  <c r="D813" i="2"/>
  <c r="D1294" i="2"/>
  <c r="D1411" i="2"/>
  <c r="D375" i="2"/>
  <c r="D1497" i="2"/>
  <c r="D1700" i="2"/>
  <c r="D1850" i="2"/>
  <c r="D3021" i="2"/>
  <c r="D209" i="2"/>
  <c r="D273" i="2"/>
  <c r="D356" i="2"/>
  <c r="D352" i="2"/>
  <c r="D380" i="2"/>
  <c r="D430" i="2"/>
  <c r="D498" i="2"/>
  <c r="D527" i="2"/>
  <c r="D605" i="2"/>
  <c r="D733" i="2"/>
  <c r="D823" i="2"/>
  <c r="D855" i="2"/>
  <c r="D1123" i="2"/>
  <c r="D1182" i="2"/>
  <c r="D1299" i="2"/>
  <c r="D1342" i="2"/>
  <c r="D1362" i="2"/>
  <c r="D1400" i="2"/>
  <c r="D1475" i="2"/>
  <c r="D1501" i="2"/>
  <c r="D1518" i="2"/>
  <c r="D1553" i="2"/>
  <c r="D1703" i="2"/>
  <c r="D1809" i="2"/>
  <c r="D1855" i="2"/>
  <c r="D2003" i="2"/>
  <c r="D2131" i="2"/>
  <c r="H2302" i="2"/>
  <c r="D2412" i="2"/>
  <c r="D2426" i="2"/>
  <c r="D2813" i="2"/>
  <c r="I2893" i="2"/>
  <c r="D3008" i="2"/>
  <c r="D3027" i="2"/>
  <c r="D3089" i="2"/>
  <c r="D492" i="2"/>
  <c r="D1511" i="2"/>
  <c r="D1496" i="2"/>
  <c r="D2125" i="2"/>
  <c r="D2806" i="2"/>
  <c r="D495" i="2"/>
  <c r="D1651" i="2"/>
  <c r="D3004" i="2"/>
  <c r="D210" i="2"/>
  <c r="D274" i="2"/>
  <c r="D381" i="2"/>
  <c r="D529" i="2"/>
  <c r="D606" i="2"/>
  <c r="D856" i="2"/>
  <c r="D1110" i="2"/>
  <c r="D1124" i="2"/>
  <c r="D1157" i="2"/>
  <c r="D1260" i="2"/>
  <c r="D1303" i="2"/>
  <c r="D1401" i="2"/>
  <c r="D1502" i="2"/>
  <c r="D1554" i="2"/>
  <c r="D1631" i="2"/>
  <c r="D1704" i="2"/>
  <c r="D1810" i="2"/>
  <c r="D1989" i="2"/>
  <c r="D2004" i="2"/>
  <c r="D2132" i="2"/>
  <c r="D2149" i="2"/>
  <c r="D2413" i="2"/>
  <c r="D2427" i="2"/>
  <c r="D2479" i="2"/>
  <c r="D2536" i="2"/>
  <c r="D2580" i="2"/>
  <c r="D2815" i="2"/>
  <c r="D3009" i="2"/>
  <c r="D3029" i="2"/>
  <c r="D3092" i="2"/>
  <c r="D270" i="2"/>
  <c r="D394" i="2"/>
  <c r="D524" i="2"/>
  <c r="D619" i="2"/>
  <c r="D1296" i="2"/>
  <c r="D2126" i="2"/>
  <c r="D275" i="2"/>
  <c r="D531" i="2"/>
  <c r="D1402" i="2"/>
  <c r="D1990" i="2"/>
  <c r="D2005" i="2"/>
  <c r="D2133" i="2"/>
  <c r="D2414" i="2"/>
  <c r="D2428" i="2"/>
  <c r="D2537" i="2"/>
  <c r="D2581" i="2"/>
  <c r="D3010" i="2"/>
  <c r="D47" i="2"/>
  <c r="K26" i="2" s="1"/>
  <c r="D79" i="2"/>
  <c r="K65" i="2" s="1"/>
  <c r="D429" i="1"/>
  <c r="D431" i="1"/>
  <c r="D430" i="1"/>
  <c r="D432" i="1"/>
  <c r="D428" i="1"/>
  <c r="D106" i="2"/>
  <c r="D100" i="2"/>
  <c r="D107" i="2"/>
  <c r="D105" i="2"/>
  <c r="D108" i="2"/>
  <c r="D104" i="2"/>
  <c r="D2053" i="2"/>
  <c r="D2052" i="2"/>
  <c r="D2048" i="2"/>
  <c r="D2051" i="2"/>
  <c r="D2055" i="2"/>
  <c r="D2054" i="2"/>
  <c r="D2050" i="2"/>
  <c r="D2047" i="2"/>
  <c r="D2046" i="2"/>
  <c r="D2060" i="2"/>
  <c r="D2058" i="2"/>
  <c r="D2057" i="2"/>
  <c r="D2630" i="2"/>
  <c r="D103" i="2"/>
  <c r="D311" i="2"/>
  <c r="D927" i="2"/>
  <c r="D1031" i="2"/>
  <c r="D3067" i="2"/>
  <c r="D3066" i="2"/>
  <c r="D3074" i="2"/>
  <c r="D3062" i="2"/>
  <c r="D3069" i="2"/>
  <c r="D3068" i="2"/>
  <c r="D3061" i="2"/>
  <c r="D3060" i="2"/>
  <c r="D3059" i="2"/>
  <c r="D3071" i="2"/>
  <c r="D3070" i="2"/>
  <c r="D482" i="1"/>
  <c r="C482" i="1" s="1"/>
  <c r="D559" i="1"/>
  <c r="D634" i="1"/>
  <c r="D312" i="2"/>
  <c r="D110" i="2"/>
  <c r="D934" i="2"/>
  <c r="D1033" i="2"/>
  <c r="D1086" i="2"/>
  <c r="D1085" i="2"/>
  <c r="D1084" i="2"/>
  <c r="D1095" i="2"/>
  <c r="D1083" i="2"/>
  <c r="D1091" i="2"/>
  <c r="D1090" i="2"/>
  <c r="D1080" i="2"/>
  <c r="D1081" i="2"/>
  <c r="D1078" i="2"/>
  <c r="D1082" i="2"/>
  <c r="D1077" i="2"/>
  <c r="D2912" i="2"/>
  <c r="D2911" i="2"/>
  <c r="D2919" i="2"/>
  <c r="D2907" i="2"/>
  <c r="D2915" i="2"/>
  <c r="D2914" i="2"/>
  <c r="D2909" i="2"/>
  <c r="D2908" i="2"/>
  <c r="D2925" i="2"/>
  <c r="D2906" i="2"/>
  <c r="D2904" i="2"/>
  <c r="D2903" i="2"/>
  <c r="D2918" i="2"/>
  <c r="D2917" i="2"/>
  <c r="D2913" i="2"/>
  <c r="D2905" i="2"/>
  <c r="D2910" i="2"/>
  <c r="D2916" i="2"/>
  <c r="D3064" i="2"/>
  <c r="D608" i="1"/>
  <c r="D602" i="1"/>
  <c r="D609" i="1"/>
  <c r="D607" i="1"/>
  <c r="D606" i="1"/>
  <c r="D610" i="1"/>
  <c r="D207" i="2"/>
  <c r="D201" i="2"/>
  <c r="D203" i="2"/>
  <c r="D202" i="2"/>
  <c r="D204" i="2"/>
  <c r="D200" i="2"/>
  <c r="D2902" i="2"/>
  <c r="D387" i="1"/>
  <c r="D395" i="1" s="1"/>
  <c r="D396" i="1" s="1"/>
  <c r="D394" i="1"/>
  <c r="D523" i="1"/>
  <c r="D529" i="1"/>
  <c r="D527" i="1"/>
  <c r="D526" i="1"/>
  <c r="D525" i="1"/>
  <c r="D528" i="1"/>
  <c r="D600" i="1"/>
  <c r="D616" i="1"/>
  <c r="C616" i="1" s="1"/>
  <c r="D146" i="2"/>
  <c r="D134" i="2"/>
  <c r="D140" i="2"/>
  <c r="D136" i="2"/>
  <c r="D133" i="2"/>
  <c r="D135" i="2"/>
  <c r="D137" i="2"/>
  <c r="D169" i="2"/>
  <c r="D175" i="2"/>
  <c r="D176" i="2"/>
  <c r="D173" i="2"/>
  <c r="D174" i="2"/>
  <c r="D177" i="2"/>
  <c r="D198" i="2"/>
  <c r="D454" i="2"/>
  <c r="D453" i="2"/>
  <c r="D459" i="2"/>
  <c r="D464" i="2"/>
  <c r="D463" i="2"/>
  <c r="D462" i="2"/>
  <c r="D654" i="2"/>
  <c r="D653" i="2"/>
  <c r="D664" i="2"/>
  <c r="D652" i="2"/>
  <c r="D655" i="2"/>
  <c r="D651" i="2"/>
  <c r="D660" i="2"/>
  <c r="D659" i="2"/>
  <c r="D658" i="2"/>
  <c r="D661" i="2"/>
  <c r="D657" i="2"/>
  <c r="D1088" i="2"/>
  <c r="D1612" i="2"/>
  <c r="H2209" i="2"/>
  <c r="D2230" i="2"/>
  <c r="H2212" i="2"/>
  <c r="H2210" i="2"/>
  <c r="H2211" i="2"/>
  <c r="H2208" i="2"/>
  <c r="D2920" i="2"/>
  <c r="D930" i="2"/>
  <c r="D918" i="2"/>
  <c r="D929" i="2"/>
  <c r="D917" i="2"/>
  <c r="D940" i="2"/>
  <c r="D928" i="2"/>
  <c r="D916" i="2"/>
  <c r="D932" i="2"/>
  <c r="D931" i="2"/>
  <c r="D922" i="2"/>
  <c r="D925" i="2"/>
  <c r="D924" i="2"/>
  <c r="D923" i="2"/>
  <c r="D926" i="2"/>
  <c r="D2628" i="2"/>
  <c r="D2627" i="2"/>
  <c r="D2635" i="2"/>
  <c r="D2623" i="2"/>
  <c r="D2629" i="2"/>
  <c r="D2626" i="2"/>
  <c r="D2641" i="2"/>
  <c r="D2622" i="2"/>
  <c r="D2621" i="2"/>
  <c r="D2620" i="2"/>
  <c r="D2633" i="2"/>
  <c r="D2632" i="2"/>
  <c r="D2619" i="2"/>
  <c r="D2618" i="2"/>
  <c r="D2637" i="2"/>
  <c r="D353" i="1"/>
  <c r="D425" i="1"/>
  <c r="D99" i="2"/>
  <c r="D919" i="2"/>
  <c r="D2049" i="2"/>
  <c r="D2624" i="2"/>
  <c r="D569" i="1"/>
  <c r="D557" i="1"/>
  <c r="D574" i="1"/>
  <c r="D563" i="1"/>
  <c r="D565" i="1"/>
  <c r="D562" i="1"/>
  <c r="D564" i="1"/>
  <c r="D566" i="1"/>
  <c r="D101" i="2"/>
  <c r="D920" i="2"/>
  <c r="D1041" i="2"/>
  <c r="D1028" i="2"/>
  <c r="D1039" i="2"/>
  <c r="D1038" i="2"/>
  <c r="D1037" i="2"/>
  <c r="D1040" i="2"/>
  <c r="D1036" i="2"/>
  <c r="D1045" i="2"/>
  <c r="D1030" i="2"/>
  <c r="D1043" i="2"/>
  <c r="D427" i="1"/>
  <c r="D556" i="1"/>
  <c r="D631" i="1"/>
  <c r="D921" i="2"/>
  <c r="D2970" i="2"/>
  <c r="D2947" i="2"/>
  <c r="D2631" i="2"/>
  <c r="D393" i="1"/>
  <c r="D933" i="2"/>
  <c r="D1032" i="2"/>
  <c r="D1248" i="2"/>
  <c r="D1256" i="2"/>
  <c r="D1243" i="2"/>
  <c r="D1255" i="2"/>
  <c r="D1241" i="2"/>
  <c r="D1254" i="2"/>
  <c r="D1240" i="2"/>
  <c r="D1253" i="2"/>
  <c r="D1252" i="2"/>
  <c r="D1245" i="2"/>
  <c r="D1258" i="2"/>
  <c r="D1251" i="2"/>
  <c r="D1257" i="2"/>
  <c r="D560" i="1"/>
  <c r="D594" i="1"/>
  <c r="D561" i="1"/>
  <c r="D111" i="2"/>
  <c r="D1087" i="2"/>
  <c r="D2111" i="2"/>
  <c r="C2111" i="2" s="1"/>
  <c r="D2110" i="2"/>
  <c r="D601" i="1"/>
  <c r="D199" i="2"/>
  <c r="D1042" i="2"/>
  <c r="D1089" i="2"/>
  <c r="D1249" i="2"/>
  <c r="D1769" i="2"/>
  <c r="D1757" i="2"/>
  <c r="D1768" i="2"/>
  <c r="D1756" i="2"/>
  <c r="D1764" i="2"/>
  <c r="D1775" i="2"/>
  <c r="D1760" i="2"/>
  <c r="D1765" i="2"/>
  <c r="D1763" i="2"/>
  <c r="D1762" i="2"/>
  <c r="D1774" i="2"/>
  <c r="D1773" i="2"/>
  <c r="D1761" i="2"/>
  <c r="D1771" i="2"/>
  <c r="D1772" i="2"/>
  <c r="D2518" i="2"/>
  <c r="D2517" i="2"/>
  <c r="D2513" i="2"/>
  <c r="D2515" i="2"/>
  <c r="D2524" i="2"/>
  <c r="D2523" i="2"/>
  <c r="D2522" i="2"/>
  <c r="D2514" i="2"/>
  <c r="D2512" i="2"/>
  <c r="D2521" i="2"/>
  <c r="D2520" i="2"/>
  <c r="D2519" i="2"/>
  <c r="D2921" i="2"/>
  <c r="D426" i="1"/>
  <c r="D633" i="1"/>
  <c r="D637" i="1"/>
  <c r="D636" i="1"/>
  <c r="D635" i="1"/>
  <c r="D2056" i="2"/>
  <c r="D2625" i="2"/>
  <c r="K2894" i="2"/>
  <c r="I2894" i="2"/>
  <c r="D102" i="2"/>
  <c r="D727" i="2"/>
  <c r="D759" i="2"/>
  <c r="D758" i="2"/>
  <c r="D757" i="2"/>
  <c r="D755" i="2"/>
  <c r="D754" i="2"/>
  <c r="D756" i="2"/>
  <c r="D753" i="2"/>
  <c r="D1027" i="2"/>
  <c r="D378" i="1"/>
  <c r="D390" i="1"/>
  <c r="D384" i="1"/>
  <c r="D391" i="1"/>
  <c r="D385" i="1"/>
  <c r="D379" i="1"/>
  <c r="D433" i="1"/>
  <c r="D558" i="1"/>
  <c r="D632" i="1"/>
  <c r="D314" i="2"/>
  <c r="D302" i="2"/>
  <c r="D313" i="2"/>
  <c r="D301" i="2"/>
  <c r="D307" i="2"/>
  <c r="D318" i="2"/>
  <c r="D303" i="2"/>
  <c r="D316" i="2"/>
  <c r="D317" i="2"/>
  <c r="D300" i="2"/>
  <c r="D304" i="2"/>
  <c r="D434" i="1"/>
  <c r="D436" i="1" s="1"/>
  <c r="C436" i="1" s="1"/>
  <c r="D109" i="2"/>
  <c r="D2634" i="2"/>
  <c r="D3063" i="2"/>
  <c r="D386" i="1"/>
  <c r="D315" i="2"/>
  <c r="D1244" i="2"/>
  <c r="D435" i="1"/>
  <c r="C435" i="1" s="1"/>
  <c r="D1034" i="2"/>
  <c r="D1246" i="2"/>
  <c r="D1628" i="2"/>
  <c r="D1616" i="2"/>
  <c r="D1627" i="2"/>
  <c r="D1615" i="2"/>
  <c r="D1636" i="2"/>
  <c r="D1623" i="2"/>
  <c r="D1624" i="2"/>
  <c r="D1625" i="2"/>
  <c r="D1622" i="2"/>
  <c r="D1621" i="2"/>
  <c r="D1614" i="2"/>
  <c r="D1613" i="2"/>
  <c r="D1626" i="2"/>
  <c r="D1620" i="2"/>
  <c r="D1618" i="2"/>
  <c r="D1619" i="2"/>
  <c r="D1629" i="2"/>
  <c r="D3065" i="2"/>
  <c r="D380" i="1"/>
  <c r="D568" i="1"/>
  <c r="D388" i="1"/>
  <c r="D454" i="1"/>
  <c r="D460" i="1"/>
  <c r="D448" i="1"/>
  <c r="D452" i="1"/>
  <c r="D451" i="1"/>
  <c r="D450" i="1"/>
  <c r="D453" i="1"/>
  <c r="D464" i="1"/>
  <c r="D467" i="1"/>
  <c r="D520" i="1"/>
  <c r="D532" i="1" s="1"/>
  <c r="D533" i="1" s="1"/>
  <c r="D570" i="1"/>
  <c r="D603" i="1"/>
  <c r="D132" i="2"/>
  <c r="D166" i="2"/>
  <c r="D205" i="2"/>
  <c r="D455" i="2"/>
  <c r="D649" i="2"/>
  <c r="D1092" i="2"/>
  <c r="D1250" i="2"/>
  <c r="D1630" i="2"/>
  <c r="D1755" i="2"/>
  <c r="D1902" i="2"/>
  <c r="D1901" i="2"/>
  <c r="D1903" i="2"/>
  <c r="D1910" i="2"/>
  <c r="D1904" i="2"/>
  <c r="D1908" i="2"/>
  <c r="D1907" i="2"/>
  <c r="D1906" i="2"/>
  <c r="D2023" i="2"/>
  <c r="C2023" i="2" s="1"/>
  <c r="D2516" i="2"/>
  <c r="D2769" i="2"/>
  <c r="D2768" i="2"/>
  <c r="D2776" i="2"/>
  <c r="D2764" i="2"/>
  <c r="D2767" i="2"/>
  <c r="D2782" i="2"/>
  <c r="D2766" i="2"/>
  <c r="D2761" i="2"/>
  <c r="D2778" i="2"/>
  <c r="D2760" i="2"/>
  <c r="D2777" i="2"/>
  <c r="D2759" i="2"/>
  <c r="D2770" i="2"/>
  <c r="D2765" i="2"/>
  <c r="D2775" i="2"/>
  <c r="D2773" i="2"/>
  <c r="D2774" i="2"/>
  <c r="D500" i="2"/>
  <c r="D488" i="2"/>
  <c r="D501" i="2"/>
  <c r="D487" i="2"/>
  <c r="D499" i="2"/>
  <c r="D486" i="2"/>
  <c r="D493" i="2"/>
  <c r="D404" i="1"/>
  <c r="D623" i="1"/>
  <c r="D626" i="1" s="1"/>
  <c r="C626" i="1" s="1"/>
  <c r="D254" i="2"/>
  <c r="D255" i="2" s="1"/>
  <c r="D389" i="2"/>
  <c r="D377" i="2"/>
  <c r="D388" i="2"/>
  <c r="D376" i="2"/>
  <c r="D382" i="2"/>
  <c r="D391" i="2"/>
  <c r="D432" i="2"/>
  <c r="D421" i="2"/>
  <c r="D420" i="2"/>
  <c r="D426" i="2"/>
  <c r="D414" i="2"/>
  <c r="D428" i="2"/>
  <c r="D465" i="2"/>
  <c r="D491" i="2"/>
  <c r="D577" i="2"/>
  <c r="D578" i="2" s="1"/>
  <c r="D579" i="2" s="1"/>
  <c r="D828" i="2"/>
  <c r="D827" i="2"/>
  <c r="D826" i="2"/>
  <c r="D816" i="2"/>
  <c r="D814" i="2"/>
  <c r="H2303" i="2"/>
  <c r="D2326" i="2"/>
  <c r="H2306" i="2"/>
  <c r="H2304" i="2"/>
  <c r="D414" i="1"/>
  <c r="D883" i="2"/>
  <c r="D882" i="2"/>
  <c r="D893" i="2"/>
  <c r="D881" i="2"/>
  <c r="D889" i="2"/>
  <c r="D874" i="2"/>
  <c r="D888" i="2"/>
  <c r="D873" i="2"/>
  <c r="D896" i="2"/>
  <c r="D879" i="2"/>
  <c r="K2892" i="2"/>
  <c r="D621" i="1"/>
  <c r="D14" i="2"/>
  <c r="K6" i="2" s="1"/>
  <c r="D387" i="2"/>
  <c r="D425" i="2"/>
  <c r="D489" i="2"/>
  <c r="D778" i="2"/>
  <c r="D770" i="2"/>
  <c r="D875" i="2"/>
  <c r="D1304" i="2"/>
  <c r="D1291" i="2"/>
  <c r="D1302" i="2"/>
  <c r="D1301" i="2"/>
  <c r="D1300" i="2"/>
  <c r="D1306" i="2"/>
  <c r="D1305" i="2"/>
  <c r="D1295" i="2"/>
  <c r="D1311" i="2"/>
  <c r="D1861" i="2"/>
  <c r="D1849" i="2"/>
  <c r="D1860" i="2"/>
  <c r="D1848" i="2"/>
  <c r="D1856" i="2"/>
  <c r="D1851" i="2"/>
  <c r="D1859" i="2"/>
  <c r="D1858" i="2"/>
  <c r="D1857" i="2"/>
  <c r="D1864" i="2"/>
  <c r="D1852" i="2"/>
  <c r="D1888" i="2"/>
  <c r="D1876" i="2"/>
  <c r="D1887" i="2"/>
  <c r="D1875" i="2"/>
  <c r="D1883" i="2"/>
  <c r="D1884" i="2"/>
  <c r="D1879" i="2"/>
  <c r="D1878" i="2"/>
  <c r="D1892" i="2"/>
  <c r="D1877" i="2"/>
  <c r="D1890" i="2"/>
  <c r="D1889" i="2"/>
  <c r="D1874" i="2"/>
  <c r="D2198" i="2"/>
  <c r="D2867" i="2"/>
  <c r="D2855" i="2"/>
  <c r="D2866" i="2"/>
  <c r="D2854" i="2"/>
  <c r="D2862" i="2"/>
  <c r="D2872" i="2"/>
  <c r="D2857" i="2"/>
  <c r="D2871" i="2"/>
  <c r="D2856" i="2"/>
  <c r="D2861" i="2"/>
  <c r="D2860" i="2"/>
  <c r="D2876" i="2"/>
  <c r="D2859" i="2"/>
  <c r="D2864" i="2"/>
  <c r="D2863" i="2"/>
  <c r="I2892" i="2"/>
  <c r="D411" i="1"/>
  <c r="D417" i="1"/>
  <c r="D502" i="1"/>
  <c r="D402" i="1"/>
  <c r="D403" i="1"/>
  <c r="D416" i="1"/>
  <c r="D514" i="1"/>
  <c r="C514" i="1" s="1"/>
  <c r="D622" i="1"/>
  <c r="D390" i="2"/>
  <c r="D427" i="2"/>
  <c r="D490" i="2"/>
  <c r="D505" i="2"/>
  <c r="D506" i="2" s="1"/>
  <c r="D876" i="2"/>
  <c r="D897" i="2"/>
  <c r="D1292" i="2"/>
  <c r="D1655" i="2"/>
  <c r="D1654" i="2"/>
  <c r="D1662" i="2"/>
  <c r="D1650" i="2"/>
  <c r="D1658" i="2"/>
  <c r="D1660" i="2"/>
  <c r="D1659" i="2"/>
  <c r="D1657" i="2"/>
  <c r="D1661" i="2"/>
  <c r="D1656" i="2"/>
  <c r="D1846" i="2"/>
  <c r="G2299" i="2"/>
  <c r="D2726" i="2"/>
  <c r="D2714" i="2"/>
  <c r="D2725" i="2"/>
  <c r="D2713" i="2"/>
  <c r="D2721" i="2"/>
  <c r="D2717" i="2"/>
  <c r="D2731" i="2"/>
  <c r="D2716" i="2"/>
  <c r="D2723" i="2"/>
  <c r="D2722" i="2"/>
  <c r="D2720" i="2"/>
  <c r="D2718" i="2"/>
  <c r="D2715" i="2"/>
  <c r="D2730" i="2"/>
  <c r="D2729" i="2"/>
  <c r="D2853" i="2"/>
  <c r="D350" i="2"/>
  <c r="D535" i="2"/>
  <c r="D614" i="2"/>
  <c r="D601" i="2"/>
  <c r="D613" i="2"/>
  <c r="D612" i="2"/>
  <c r="D615" i="2"/>
  <c r="D995" i="2"/>
  <c r="D984" i="2"/>
  <c r="D992" i="2"/>
  <c r="D979" i="2"/>
  <c r="D991" i="2"/>
  <c r="D977" i="2"/>
  <c r="D990" i="2"/>
  <c r="D976" i="2"/>
  <c r="D1438" i="2"/>
  <c r="D1443" i="2"/>
  <c r="D1430" i="2"/>
  <c r="D1442" i="2"/>
  <c r="D1429" i="2"/>
  <c r="D1441" i="2"/>
  <c r="D1428" i="2"/>
  <c r="D2275" i="2"/>
  <c r="H2252" i="2"/>
  <c r="H2255" i="2"/>
  <c r="H2251" i="2"/>
  <c r="D2824" i="2"/>
  <c r="D2812" i="2"/>
  <c r="D2823" i="2"/>
  <c r="D2811" i="2"/>
  <c r="D2819" i="2"/>
  <c r="D2807" i="2"/>
  <c r="D2820" i="2"/>
  <c r="D2818" i="2"/>
  <c r="D2822" i="2"/>
  <c r="D2821" i="2"/>
  <c r="D2817" i="2"/>
  <c r="I2895" i="2"/>
  <c r="D1468" i="2"/>
  <c r="D1467" i="2"/>
  <c r="D1466" i="2"/>
  <c r="D345" i="2"/>
  <c r="D530" i="2"/>
  <c r="D607" i="2"/>
  <c r="D840" i="2"/>
  <c r="D839" i="2"/>
  <c r="D838" i="2"/>
  <c r="D987" i="2"/>
  <c r="D1360" i="2"/>
  <c r="D1348" i="2"/>
  <c r="D1349" i="2"/>
  <c r="D1347" i="2"/>
  <c r="D1359" i="2"/>
  <c r="D1346" i="2"/>
  <c r="D1358" i="2"/>
  <c r="D1437" i="2"/>
  <c r="D1469" i="2"/>
  <c r="D1568" i="2"/>
  <c r="D1557" i="2"/>
  <c r="D1562" i="2"/>
  <c r="D1549" i="2"/>
  <c r="D1561" i="2"/>
  <c r="D1560" i="2"/>
  <c r="D1559" i="2"/>
  <c r="D1566" i="2"/>
  <c r="D1935" i="2"/>
  <c r="D1934" i="2"/>
  <c r="D1930" i="2"/>
  <c r="D1941" i="2"/>
  <c r="D1926" i="2"/>
  <c r="D1940" i="2"/>
  <c r="D1939" i="2"/>
  <c r="D1938" i="2"/>
  <c r="D2033" i="2"/>
  <c r="C2033" i="2" s="1"/>
  <c r="D2814" i="2"/>
  <c r="D1199" i="2"/>
  <c r="D1187" i="2"/>
  <c r="D1191" i="2"/>
  <c r="D1512" i="2"/>
  <c r="D1500" i="2"/>
  <c r="D1506" i="2"/>
  <c r="D1816" i="2"/>
  <c r="D1804" i="2"/>
  <c r="D1815" i="2"/>
  <c r="D1803" i="2"/>
  <c r="D1811" i="2"/>
  <c r="D1814" i="2"/>
  <c r="D1819" i="2"/>
  <c r="D3120" i="2"/>
  <c r="D3118" i="2"/>
  <c r="D3117" i="2"/>
  <c r="D3116" i="2"/>
  <c r="D3115" i="2"/>
  <c r="D3114" i="2"/>
  <c r="D3113" i="2"/>
  <c r="D851" i="2"/>
  <c r="D1179" i="2"/>
  <c r="D1192" i="2"/>
  <c r="D1406" i="2"/>
  <c r="D1494" i="2"/>
  <c r="D1507" i="2"/>
  <c r="D1520" i="2"/>
  <c r="D1805" i="2"/>
  <c r="D1122" i="2"/>
  <c r="D1180" i="2"/>
  <c r="D1193" i="2"/>
  <c r="D1393" i="2"/>
  <c r="D1407" i="2"/>
  <c r="D1495" i="2"/>
  <c r="D1508" i="2"/>
  <c r="D1710" i="2"/>
  <c r="D1698" i="2"/>
  <c r="D1709" i="2"/>
  <c r="D1697" i="2"/>
  <c r="D1705" i="2"/>
  <c r="D1708" i="2"/>
  <c r="D1713" i="2"/>
  <c r="D1806" i="2"/>
  <c r="D2483" i="2"/>
  <c r="D2471" i="2"/>
  <c r="D2482" i="2"/>
  <c r="D2470" i="2"/>
  <c r="D2478" i="2"/>
  <c r="D2466" i="2"/>
  <c r="D2474" i="2"/>
  <c r="D2480" i="2"/>
  <c r="D3094" i="2"/>
  <c r="D3091" i="2"/>
  <c r="D3090" i="2"/>
  <c r="K2896" i="2"/>
  <c r="D2141" i="2"/>
  <c r="D2129" i="2"/>
  <c r="D2140" i="2"/>
  <c r="D2128" i="2"/>
  <c r="D2136" i="2"/>
  <c r="D2124" i="2"/>
  <c r="D2139" i="2"/>
  <c r="D2683" i="2"/>
  <c r="D2671" i="2"/>
  <c r="D2682" i="2"/>
  <c r="D2670" i="2"/>
  <c r="D2678" i="2"/>
  <c r="D2666" i="2"/>
  <c r="D2680" i="2"/>
  <c r="I2896" i="2"/>
  <c r="D3024" i="2"/>
  <c r="D3012" i="2"/>
  <c r="D3023" i="2"/>
  <c r="D3011" i="2"/>
  <c r="D3019" i="2"/>
  <c r="D3007" i="2"/>
  <c r="D3018" i="2"/>
  <c r="D1965" i="2"/>
  <c r="D1995" i="2"/>
  <c r="D2007" i="2"/>
  <c r="D2578" i="2"/>
  <c r="D1957" i="2"/>
  <c r="D1999" i="2"/>
  <c r="D2421" i="2"/>
  <c r="D2570" i="2"/>
  <c r="D2582" i="2"/>
  <c r="D2422" i="2"/>
  <c r="D2571" i="2"/>
  <c r="D3174" i="2" l="1"/>
  <c r="D3176" i="2" s="1"/>
  <c r="D2204" i="2"/>
  <c r="D2189" i="2"/>
  <c r="D2182" i="2"/>
  <c r="D744" i="2"/>
  <c r="J732" i="2" s="1"/>
  <c r="D3145" i="2"/>
  <c r="D3144" i="2"/>
  <c r="D3143" i="2"/>
  <c r="D3142" i="2"/>
  <c r="D3141" i="2"/>
  <c r="D3140" i="2"/>
  <c r="D3139" i="2"/>
  <c r="D3138" i="2"/>
  <c r="D3137" i="2"/>
  <c r="D3136" i="2"/>
  <c r="D3135" i="2"/>
  <c r="K478" i="2"/>
  <c r="D3134" i="2"/>
  <c r="D2183" i="2"/>
  <c r="D3132" i="2"/>
  <c r="D2034" i="2"/>
  <c r="C2034" i="2" s="1"/>
  <c r="D2195" i="2"/>
  <c r="D3148" i="2"/>
  <c r="D3146" i="2"/>
  <c r="K61" i="2"/>
  <c r="D433" i="2"/>
  <c r="K407" i="2" s="1"/>
  <c r="D3119" i="2"/>
  <c r="D3121" i="2" s="1"/>
  <c r="D843" i="2"/>
  <c r="D845" i="2" s="1"/>
  <c r="D846" i="2" s="1"/>
  <c r="C846" i="2" s="1"/>
  <c r="D2188" i="2"/>
  <c r="D1971" i="2"/>
  <c r="J1950" i="2" s="1"/>
  <c r="D2200" i="2"/>
  <c r="K477" i="2"/>
  <c r="D1128" i="2"/>
  <c r="D1130" i="2" s="1"/>
  <c r="D2185" i="2"/>
  <c r="D2375" i="2"/>
  <c r="D2378" i="2" s="1"/>
  <c r="D283" i="2"/>
  <c r="K265" i="2" s="1"/>
  <c r="D2433" i="2"/>
  <c r="J2403" i="2" s="1"/>
  <c r="D113" i="2"/>
  <c r="K91" i="2" s="1"/>
  <c r="D2187" i="2"/>
  <c r="K5" i="2"/>
  <c r="D2199" i="2"/>
  <c r="D2193" i="2"/>
  <c r="D777" i="2"/>
  <c r="J766" i="2" s="1"/>
  <c r="D1163" i="2"/>
  <c r="D1165" i="2" s="1"/>
  <c r="D3096" i="2"/>
  <c r="D3098" i="2" s="1"/>
  <c r="C3098" i="2" s="1"/>
  <c r="D2194" i="2"/>
  <c r="D2184" i="2"/>
  <c r="H2356" i="2"/>
  <c r="K266" i="2"/>
  <c r="D1361" i="2"/>
  <c r="D1363" i="2" s="1"/>
  <c r="D1364" i="2" s="1"/>
  <c r="C1364" i="2" s="1"/>
  <c r="D357" i="2"/>
  <c r="K335" i="2" s="1"/>
  <c r="D395" i="2"/>
  <c r="K371" i="2" s="1"/>
  <c r="D2487" i="2"/>
  <c r="J2442" i="2" s="1"/>
  <c r="D320" i="2"/>
  <c r="D321" i="2" s="1"/>
  <c r="D622" i="2"/>
  <c r="J588" i="2" s="1"/>
  <c r="K60" i="2"/>
  <c r="D3032" i="2"/>
  <c r="I2992" i="2" s="1"/>
  <c r="D2828" i="2"/>
  <c r="J2798" i="2" s="1"/>
  <c r="D2024" i="2"/>
  <c r="C2024" i="2" s="1"/>
  <c r="D2543" i="2"/>
  <c r="D2545" i="2" s="1"/>
  <c r="C2545" i="2" s="1"/>
  <c r="D746" i="2"/>
  <c r="J731" i="2"/>
  <c r="H2355" i="2"/>
  <c r="K4" i="2"/>
  <c r="J730" i="2"/>
  <c r="K479" i="2"/>
  <c r="D504" i="2"/>
  <c r="D507" i="2" s="1"/>
  <c r="D1474" i="2"/>
  <c r="D1476" i="2" s="1"/>
  <c r="C1476" i="2" s="1"/>
  <c r="D1200" i="2"/>
  <c r="D1206" i="2" s="1"/>
  <c r="C1206" i="2" s="1"/>
  <c r="D857" i="2"/>
  <c r="D859" i="2" s="1"/>
  <c r="D860" i="2" s="1"/>
  <c r="C860" i="2" s="1"/>
  <c r="H2353" i="2"/>
  <c r="D214" i="2"/>
  <c r="D215" i="2" s="1"/>
  <c r="D148" i="2"/>
  <c r="K126" i="2" s="1"/>
  <c r="D665" i="2"/>
  <c r="D667" i="2" s="1"/>
  <c r="D537" i="2"/>
  <c r="D538" i="2" s="1"/>
  <c r="D539" i="2" s="1"/>
  <c r="D1259" i="2"/>
  <c r="D1261" i="2" s="1"/>
  <c r="D1262" i="2" s="1"/>
  <c r="C1262" i="2" s="1"/>
  <c r="D2589" i="2"/>
  <c r="J2552" i="2" s="1"/>
  <c r="D2011" i="2"/>
  <c r="D2012" i="2" s="1"/>
  <c r="C2012" i="2" s="1"/>
  <c r="H2354" i="2"/>
  <c r="K476" i="2"/>
  <c r="D2191" i="2"/>
  <c r="D2190" i="2"/>
  <c r="D2197" i="2"/>
  <c r="D2192" i="2"/>
  <c r="D2196" i="2"/>
  <c r="K127" i="2"/>
  <c r="I2990" i="2"/>
  <c r="H2294" i="2"/>
  <c r="H2291" i="2"/>
  <c r="H2290" i="2"/>
  <c r="H2289" i="2"/>
  <c r="D1635" i="2"/>
  <c r="D1637" i="2" s="1"/>
  <c r="D1818" i="2"/>
  <c r="D1863" i="2"/>
  <c r="D1865" i="2" s="1"/>
  <c r="D1866" i="2" s="1"/>
  <c r="D1310" i="2"/>
  <c r="D1312" i="2" s="1"/>
  <c r="K7" i="2"/>
  <c r="D80" i="2"/>
  <c r="K64" i="2"/>
  <c r="K62" i="2"/>
  <c r="K66" i="2"/>
  <c r="D2687" i="2"/>
  <c r="D1777" i="2"/>
  <c r="D1094" i="2"/>
  <c r="D1096" i="2" s="1"/>
  <c r="D3122" i="2"/>
  <c r="C3122" i="2" s="1"/>
  <c r="C3121" i="2"/>
  <c r="D15" i="2"/>
  <c r="K3" i="2"/>
  <c r="D503" i="2"/>
  <c r="D2525" i="2"/>
  <c r="D1567" i="2"/>
  <c r="C467" i="1"/>
  <c r="C468" i="1"/>
  <c r="D468" i="1"/>
  <c r="D2287" i="2"/>
  <c r="D2286" i="2"/>
  <c r="D2282" i="2"/>
  <c r="D2277" i="2"/>
  <c r="D2289" i="2"/>
  <c r="D2288" i="2"/>
  <c r="D2298" i="2"/>
  <c r="D2285" i="2"/>
  <c r="D2292" i="2"/>
  <c r="D2291" i="2"/>
  <c r="D2280" i="2"/>
  <c r="D2276" i="2"/>
  <c r="D2278" i="2"/>
  <c r="D2279" i="2"/>
  <c r="D2284" i="2"/>
  <c r="D2281" i="2"/>
  <c r="D2294" i="2"/>
  <c r="D2293" i="2"/>
  <c r="D2283" i="2"/>
  <c r="D2290" i="2"/>
  <c r="D2147" i="2"/>
  <c r="D937" i="2"/>
  <c r="D942" i="2" s="1"/>
  <c r="K31" i="2"/>
  <c r="K32" i="2"/>
  <c r="K28" i="2"/>
  <c r="K27" i="2"/>
  <c r="K30" i="2"/>
  <c r="K33" i="2"/>
  <c r="D48" i="2"/>
  <c r="K29" i="2"/>
  <c r="D1663" i="2"/>
  <c r="D1665" i="2" s="1"/>
  <c r="D2781" i="2"/>
  <c r="D2243" i="2"/>
  <c r="D2231" i="2"/>
  <c r="D2242" i="2"/>
  <c r="D2238" i="2"/>
  <c r="D2237" i="2"/>
  <c r="D2247" i="2"/>
  <c r="D2241" i="2"/>
  <c r="D2233" i="2"/>
  <c r="D2240" i="2"/>
  <c r="D2239" i="2"/>
  <c r="D2235" i="2"/>
  <c r="D2234" i="2"/>
  <c r="D2232" i="2"/>
  <c r="D2236" i="2"/>
  <c r="D2924" i="2"/>
  <c r="D3073" i="2"/>
  <c r="D3075" i="2" s="1"/>
  <c r="D624" i="1"/>
  <c r="D625" i="1" s="1"/>
  <c r="D614" i="1"/>
  <c r="D615" i="1" s="1"/>
  <c r="D1519" i="2"/>
  <c r="K9" i="2"/>
  <c r="D760" i="2"/>
  <c r="D2640" i="2"/>
  <c r="D466" i="2"/>
  <c r="D2059" i="2"/>
  <c r="D2061" i="2" s="1"/>
  <c r="K67" i="2"/>
  <c r="D2971" i="2"/>
  <c r="D2958" i="2"/>
  <c r="D2957" i="2"/>
  <c r="D2953" i="2"/>
  <c r="D2955" i="2"/>
  <c r="D2954" i="2"/>
  <c r="D2959" i="2"/>
  <c r="D2956" i="2"/>
  <c r="D2952" i="2"/>
  <c r="D2964" i="2"/>
  <c r="D2963" i="2"/>
  <c r="D2950" i="2"/>
  <c r="D2949" i="2"/>
  <c r="D2951" i="2"/>
  <c r="D2948" i="2"/>
  <c r="D2960" i="2"/>
  <c r="D2962" i="2"/>
  <c r="D2961" i="2"/>
  <c r="D1718" i="2"/>
  <c r="D2339" i="2"/>
  <c r="D2327" i="2"/>
  <c r="D2338" i="2"/>
  <c r="D2334" i="2"/>
  <c r="D2343" i="2"/>
  <c r="D2328" i="2"/>
  <c r="D2344" i="2"/>
  <c r="D2342" i="2"/>
  <c r="D2341" i="2"/>
  <c r="D2337" i="2"/>
  <c r="D2336" i="2"/>
  <c r="D2348" i="2"/>
  <c r="D2329" i="2"/>
  <c r="D2333" i="2"/>
  <c r="D2331" i="2"/>
  <c r="D2332" i="2"/>
  <c r="D2335" i="2"/>
  <c r="D2340" i="2"/>
  <c r="D2330" i="2"/>
  <c r="D994" i="2"/>
  <c r="D996" i="2" s="1"/>
  <c r="D638" i="1"/>
  <c r="D640" i="1" s="1"/>
  <c r="D573" i="1"/>
  <c r="D1942" i="2"/>
  <c r="D1943" i="2" s="1"/>
  <c r="C1943" i="2" s="1"/>
  <c r="D2875" i="2"/>
  <c r="D2734" i="2"/>
  <c r="D1891" i="2"/>
  <c r="D1893" i="2" s="1"/>
  <c r="D1044" i="2"/>
  <c r="D1046" i="2" s="1"/>
  <c r="D182" i="2"/>
  <c r="D183" i="2" s="1"/>
  <c r="D1412" i="2"/>
  <c r="D1414" i="2" s="1"/>
  <c r="D1446" i="2"/>
  <c r="C502" i="1"/>
  <c r="D503" i="1"/>
  <c r="C503" i="1" s="1"/>
  <c r="D894" i="2"/>
  <c r="D899" i="2" s="1"/>
  <c r="D829" i="2"/>
  <c r="D1909" i="2"/>
  <c r="D1911" i="2" s="1"/>
  <c r="K8" i="2"/>
  <c r="K63" i="2"/>
  <c r="D3177" i="2" l="1"/>
  <c r="C3177" i="2" s="1"/>
  <c r="C3176" i="2"/>
  <c r="D3033" i="2"/>
  <c r="I2991" i="2"/>
  <c r="J729" i="2"/>
  <c r="D3147" i="2"/>
  <c r="K93" i="2"/>
  <c r="K92" i="2"/>
  <c r="K408" i="2"/>
  <c r="D114" i="2"/>
  <c r="K409" i="2"/>
  <c r="D434" i="2"/>
  <c r="K90" i="2"/>
  <c r="K264" i="2"/>
  <c r="K263" i="2"/>
  <c r="J2402" i="2"/>
  <c r="D284" i="2"/>
  <c r="J2406" i="2"/>
  <c r="J1982" i="2"/>
  <c r="D779" i="2"/>
  <c r="C779" i="2" s="1"/>
  <c r="J2799" i="2"/>
  <c r="J1983" i="2"/>
  <c r="D2393" i="2"/>
  <c r="C845" i="2"/>
  <c r="J2800" i="2"/>
  <c r="J2405" i="2"/>
  <c r="D2435" i="2"/>
  <c r="D2436" i="2" s="1"/>
  <c r="C2436" i="2" s="1"/>
  <c r="J2404" i="2"/>
  <c r="J768" i="2"/>
  <c r="D2390" i="2"/>
  <c r="J586" i="2"/>
  <c r="D3099" i="2"/>
  <c r="C3099" i="2" s="1"/>
  <c r="J587" i="2"/>
  <c r="J1984" i="2"/>
  <c r="D396" i="2"/>
  <c r="K370" i="2"/>
  <c r="D1972" i="2"/>
  <c r="C1972" i="2" s="1"/>
  <c r="D1477" i="2"/>
  <c r="C1477" i="2" s="1"/>
  <c r="K334" i="2"/>
  <c r="J1948" i="2"/>
  <c r="K333" i="2"/>
  <c r="K128" i="2"/>
  <c r="J585" i="2"/>
  <c r="J769" i="2"/>
  <c r="J1102" i="2"/>
  <c r="D2203" i="2"/>
  <c r="J2159" i="2" s="1"/>
  <c r="D2383" i="2"/>
  <c r="D2376" i="2"/>
  <c r="J2443" i="2"/>
  <c r="K518" i="2"/>
  <c r="K129" i="2"/>
  <c r="D2379" i="2"/>
  <c r="D2489" i="2"/>
  <c r="C2489" i="2" s="1"/>
  <c r="D2381" i="2"/>
  <c r="D2380" i="2"/>
  <c r="K195" i="2"/>
  <c r="D2382" i="2"/>
  <c r="D2392" i="2"/>
  <c r="J645" i="2"/>
  <c r="J1135" i="2"/>
  <c r="D2385" i="2"/>
  <c r="J1100" i="2"/>
  <c r="J1134" i="2"/>
  <c r="D2387" i="2"/>
  <c r="D2377" i="2"/>
  <c r="J2797" i="2"/>
  <c r="J1133" i="2"/>
  <c r="D2386" i="2"/>
  <c r="D2389" i="2"/>
  <c r="D2830" i="2"/>
  <c r="C2830" i="2" s="1"/>
  <c r="J1099" i="2"/>
  <c r="J1949" i="2"/>
  <c r="D2384" i="2"/>
  <c r="J2440" i="2"/>
  <c r="D2394" i="2"/>
  <c r="D2398" i="2"/>
  <c r="J644" i="2"/>
  <c r="D149" i="2"/>
  <c r="J643" i="2"/>
  <c r="C859" i="2"/>
  <c r="D2391" i="2"/>
  <c r="J2801" i="2"/>
  <c r="J767" i="2"/>
  <c r="J1101" i="2"/>
  <c r="J1951" i="2"/>
  <c r="D2388" i="2"/>
  <c r="K369" i="2"/>
  <c r="D2595" i="2"/>
  <c r="D2596" i="2" s="1"/>
  <c r="J2553" i="2"/>
  <c r="J646" i="2"/>
  <c r="K337" i="2"/>
  <c r="K194" i="2"/>
  <c r="K298" i="2"/>
  <c r="C1207" i="2"/>
  <c r="D358" i="2"/>
  <c r="K196" i="2"/>
  <c r="K297" i="2"/>
  <c r="C1261" i="2"/>
  <c r="K296" i="2"/>
  <c r="D1207" i="2"/>
  <c r="K520" i="2"/>
  <c r="K193" i="2"/>
  <c r="K295" i="2"/>
  <c r="C1363" i="2"/>
  <c r="K517" i="2"/>
  <c r="C746" i="2"/>
  <c r="D747" i="2"/>
  <c r="C747" i="2" s="1"/>
  <c r="J2441" i="2"/>
  <c r="K519" i="2"/>
  <c r="D1166" i="2"/>
  <c r="C1166" i="2" s="1"/>
  <c r="C1165" i="2"/>
  <c r="C1893" i="2"/>
  <c r="D1894" i="2"/>
  <c r="C1894" i="2" s="1"/>
  <c r="C996" i="2"/>
  <c r="D997" i="2"/>
  <c r="C997" i="2" s="1"/>
  <c r="D2347" i="2"/>
  <c r="C1096" i="2"/>
  <c r="D1097" i="2"/>
  <c r="C1097" i="2" s="1"/>
  <c r="D831" i="2"/>
  <c r="J807" i="2"/>
  <c r="J810" i="2"/>
  <c r="J808" i="2"/>
  <c r="J809" i="2"/>
  <c r="D467" i="2"/>
  <c r="K444" i="2"/>
  <c r="K445" i="2"/>
  <c r="K443" i="2"/>
  <c r="J2845" i="2"/>
  <c r="J2848" i="2"/>
  <c r="J2846" i="2"/>
  <c r="D2877" i="2"/>
  <c r="J2847" i="2"/>
  <c r="J2844" i="2"/>
  <c r="J751" i="2"/>
  <c r="D762" i="2"/>
  <c r="J752" i="2"/>
  <c r="J750" i="2"/>
  <c r="J749" i="2"/>
  <c r="D2926" i="2"/>
  <c r="J2893" i="2"/>
  <c r="J2896" i="2"/>
  <c r="J2895" i="2"/>
  <c r="J2894" i="2"/>
  <c r="J2892" i="2"/>
  <c r="C667" i="2"/>
  <c r="D668" i="2"/>
  <c r="C668" i="2" s="1"/>
  <c r="J1485" i="2"/>
  <c r="J1486" i="2"/>
  <c r="D1521" i="2"/>
  <c r="J1483" i="2"/>
  <c r="J1484" i="2"/>
  <c r="D1415" i="2"/>
  <c r="C1415" i="2" s="1"/>
  <c r="C1414" i="2"/>
  <c r="C942" i="2"/>
  <c r="D943" i="2"/>
  <c r="C943" i="2"/>
  <c r="D1783" i="2"/>
  <c r="D1784" i="2" s="1"/>
  <c r="J1740" i="2"/>
  <c r="J1741" i="2"/>
  <c r="D2783" i="2"/>
  <c r="J2754" i="2"/>
  <c r="J2753" i="2"/>
  <c r="J2750" i="2"/>
  <c r="J2751" i="2"/>
  <c r="J2752" i="2"/>
  <c r="J2114" i="2"/>
  <c r="J2115" i="2"/>
  <c r="J2113" i="2"/>
  <c r="D2152" i="2"/>
  <c r="J2116" i="2"/>
  <c r="J2657" i="2"/>
  <c r="D2689" i="2"/>
  <c r="J2659" i="2"/>
  <c r="J2656" i="2"/>
  <c r="J2660" i="2"/>
  <c r="J2658" i="2"/>
  <c r="D1047" i="2"/>
  <c r="C1047" i="2" s="1"/>
  <c r="C1046" i="2"/>
  <c r="J1539" i="2"/>
  <c r="D1569" i="2"/>
  <c r="J1538" i="2"/>
  <c r="J1540" i="2"/>
  <c r="J1541" i="2"/>
  <c r="D1823" i="2"/>
  <c r="D1824" i="2" s="1"/>
  <c r="J1800" i="2"/>
  <c r="J1798" i="2"/>
  <c r="J1799" i="2"/>
  <c r="D780" i="2"/>
  <c r="C900" i="2"/>
  <c r="C899" i="2"/>
  <c r="D900" i="2"/>
  <c r="D3076" i="2"/>
  <c r="C3076" i="2" s="1"/>
  <c r="C3075" i="2"/>
  <c r="J1418" i="2"/>
  <c r="J1419" i="2"/>
  <c r="J1417" i="2"/>
  <c r="J1420" i="2"/>
  <c r="D1448" i="2"/>
  <c r="D1313" i="2"/>
  <c r="C1313" i="2" s="1"/>
  <c r="C1312" i="2"/>
  <c r="D1131" i="2"/>
  <c r="C1131" i="2" s="1"/>
  <c r="C1130" i="2"/>
  <c r="D1724" i="2"/>
  <c r="D1725" i="2" s="1"/>
  <c r="J1682" i="2"/>
  <c r="J1681" i="2"/>
  <c r="D2526" i="2"/>
  <c r="C2526" i="2" s="1"/>
  <c r="J2507" i="2"/>
  <c r="J2509" i="2"/>
  <c r="J2508" i="2"/>
  <c r="J2510" i="2"/>
  <c r="D1638" i="2"/>
  <c r="C1638" i="2" s="1"/>
  <c r="C1637" i="2"/>
  <c r="J2707" i="2"/>
  <c r="D2736" i="2"/>
  <c r="J2704" i="2"/>
  <c r="J2706" i="2"/>
  <c r="J2703" i="2"/>
  <c r="J2705" i="2"/>
  <c r="J2612" i="2"/>
  <c r="J2610" i="2"/>
  <c r="D2642" i="2"/>
  <c r="J2611" i="2"/>
  <c r="J2609" i="2"/>
  <c r="J2613" i="2"/>
  <c r="D2968" i="2"/>
  <c r="D2246" i="2"/>
  <c r="C1665" i="2"/>
  <c r="D1667" i="2"/>
  <c r="C1667" i="2" s="1"/>
  <c r="J1640" i="2"/>
  <c r="J1641" i="2"/>
  <c r="D575" i="1"/>
  <c r="I553" i="1"/>
  <c r="I551" i="1"/>
  <c r="I552" i="1"/>
  <c r="I554" i="1"/>
  <c r="D1912" i="2"/>
  <c r="C1912" i="2" s="1"/>
  <c r="C1911" i="2"/>
  <c r="C640" i="1"/>
  <c r="D641" i="1"/>
  <c r="C641" i="1" s="1"/>
  <c r="C2061" i="2"/>
  <c r="J2037" i="2"/>
  <c r="J2038" i="2"/>
  <c r="D2063" i="2"/>
  <c r="C2063" i="2" s="1"/>
  <c r="D2297" i="2"/>
  <c r="D3034" i="2"/>
  <c r="C3034" i="2" s="1"/>
  <c r="C3033" i="2"/>
  <c r="D3149" i="2" l="1"/>
  <c r="C3149" i="2" s="1"/>
  <c r="J2162" i="2"/>
  <c r="C2435" i="2"/>
  <c r="D2205" i="2"/>
  <c r="C2205" i="2" s="1"/>
  <c r="J2160" i="2"/>
  <c r="J2161" i="2"/>
  <c r="J2158" i="2"/>
  <c r="D1975" i="2"/>
  <c r="D2490" i="2"/>
  <c r="C2490" i="2" s="1"/>
  <c r="D2397" i="2"/>
  <c r="J2354" i="2" s="1"/>
  <c r="D2831" i="2"/>
  <c r="C2831" i="2" s="1"/>
  <c r="C2152" i="2"/>
  <c r="D2153" i="2"/>
  <c r="C2153" i="2" s="1"/>
  <c r="C2642" i="2"/>
  <c r="D2643" i="2"/>
  <c r="C2643" i="2" s="1"/>
  <c r="D781" i="2"/>
  <c r="C781" i="2" s="1"/>
  <c r="C780" i="2"/>
  <c r="D2206" i="2"/>
  <c r="C2206" i="2" s="1"/>
  <c r="D1449" i="2"/>
  <c r="C1449" i="2" s="1"/>
  <c r="C1448" i="2"/>
  <c r="D2878" i="2"/>
  <c r="C2878" i="2" s="1"/>
  <c r="C2877" i="2"/>
  <c r="D832" i="2"/>
  <c r="C832" i="2" s="1"/>
  <c r="C831" i="2"/>
  <c r="D2690" i="2"/>
  <c r="C2690" i="2" s="1"/>
  <c r="C2689" i="2"/>
  <c r="C2783" i="2"/>
  <c r="D2784" i="2"/>
  <c r="C2784" i="2" s="1"/>
  <c r="J2254" i="2"/>
  <c r="J2253" i="2"/>
  <c r="D2299" i="2"/>
  <c r="J2251" i="2"/>
  <c r="J2255" i="2"/>
  <c r="J2252" i="2"/>
  <c r="D2248" i="2"/>
  <c r="J2209" i="2"/>
  <c r="J2210" i="2"/>
  <c r="J2212" i="2"/>
  <c r="J2211" i="2"/>
  <c r="J2208" i="2"/>
  <c r="D2737" i="2"/>
  <c r="C2737" i="2" s="1"/>
  <c r="C2736" i="2"/>
  <c r="D576" i="1"/>
  <c r="C576" i="1" s="1"/>
  <c r="C575" i="1"/>
  <c r="I2945" i="2"/>
  <c r="D2969" i="2"/>
  <c r="I2942" i="2"/>
  <c r="I2941" i="2"/>
  <c r="D1522" i="2"/>
  <c r="C1522" i="2" s="1"/>
  <c r="C1521" i="2"/>
  <c r="C762" i="2"/>
  <c r="D763" i="2"/>
  <c r="C763" i="2" s="1"/>
  <c r="J2305" i="2"/>
  <c r="J2302" i="2"/>
  <c r="D2349" i="2"/>
  <c r="J2306" i="2"/>
  <c r="J2304" i="2"/>
  <c r="J2303" i="2"/>
  <c r="D2927" i="2"/>
  <c r="C2927" i="2" s="1"/>
  <c r="C2926" i="2"/>
  <c r="D1570" i="2"/>
  <c r="C1570" i="2" s="1"/>
  <c r="C1569" i="2"/>
  <c r="J2352" i="2" l="1"/>
  <c r="D3150" i="2"/>
  <c r="C3150" i="2" s="1"/>
  <c r="D2399" i="2"/>
  <c r="J2355" i="2"/>
  <c r="J2356" i="2"/>
  <c r="J2353" i="2"/>
  <c r="D2972" i="2"/>
  <c r="D2973" i="2"/>
  <c r="D2300" i="2"/>
  <c r="C2300" i="2" s="1"/>
  <c r="C2299" i="2"/>
  <c r="D2400" i="2"/>
  <c r="C2400" i="2" s="1"/>
  <c r="C2399" i="2"/>
  <c r="D2350" i="2"/>
  <c r="C2350" i="2" s="1"/>
  <c r="C2349" i="2"/>
  <c r="C2248" i="2"/>
  <c r="D2249" i="2"/>
  <c r="C2249" i="2" s="1"/>
  <c r="D2974" i="2" l="1"/>
  <c r="C2974" i="2" s="1"/>
  <c r="C297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tc={90CB2854-2D2E-6843-E5A9-46A81713D752}</author>
    <author>tc={0056004E-003A-4377-8340-0082003700C7}</author>
    <author>tc={00CA00FD-008F-439E-93F1-00A700500020}</author>
    <author>tc={00590070-00B6-4B2A-AB25-00E400C10088}</author>
    <author>tc={001600E8-00B7-4C82-93CA-006A00050011}</author>
    <author>tc={D6E18942-903C-9722-1297-6BD50DFAE537}</author>
    <author>tc={AA8691B1-9C5F-486D-FB00-15ABA14FA7AE}</author>
    <author>tc={5FCE3F24-A531-A9E2-6D3C-6017F37EFFE6}</author>
    <author>tc={00A3002B-00BE-4378-A0EC-00770049000B}</author>
    <author>tc={000000E8-0039-42A0-9260-00B300D1001E}</author>
  </authors>
  <commentList>
    <comment ref="F1484" authorId="0" shapeId="0" xr:uid="{90CB2854-2D2E-6843-E5A9-46A81713D752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403" authorId="1" shapeId="0" xr:uid="{0056004E-003A-4377-8340-0082003700C7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610" authorId="2" shapeId="0" xr:uid="{00CA00FD-008F-439E-93F1-00A700500020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657" authorId="3" shapeId="0" xr:uid="{00590070-00B6-4B2A-AB25-00E400C10088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704" authorId="4" shapeId="0" xr:uid="{001600E8-00B7-4C82-93CA-006A00050011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751" authorId="5" shapeId="0" xr:uid="{D6E18942-903C-9722-1297-6BD50DFAE537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798" authorId="6" shapeId="0" xr:uid="{AA8691B1-9C5F-486D-FB00-15ABA14FA7AE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845" authorId="7" shapeId="0" xr:uid="{5FCE3F24-A531-A9E2-6D3C-6017F37EFFE6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942" authorId="8" shapeId="0" xr:uid="{00A3002B-00BE-4378-A0EC-00770049000B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  <comment ref="D2991" authorId="9" shapeId="0" xr:uid="{000000E8-0039-42A0-9260-00B300D1001E}">
      <text>
        <r>
          <rPr>
            <b/>
            <sz val="9"/>
            <rFont val="Tahoma"/>
          </rPr>
          <t>Ольга Говырина:</t>
        </r>
        <r>
          <rPr>
            <sz val="9"/>
            <rFont val="Tahoma"/>
          </rPr>
          <t xml:space="preserve">
Убрать НДС 5% Итого Стоимость проекта 28 954 952 р
</t>
        </r>
      </text>
    </comment>
  </commentList>
</comments>
</file>

<file path=xl/sharedStrings.xml><?xml version="1.0" encoding="utf-8"?>
<sst xmlns="http://schemas.openxmlformats.org/spreadsheetml/2006/main" count="6212" uniqueCount="1320">
  <si>
    <t>№</t>
  </si>
  <si>
    <t>ТОМ/Раздел ПД, РД</t>
  </si>
  <si>
    <t>%</t>
  </si>
  <si>
    <t>Пред. расчет</t>
  </si>
  <si>
    <t>Факт</t>
  </si>
  <si>
    <t>Комментарии</t>
  </si>
  <si>
    <t>ЮТЕЙР</t>
  </si>
  <si>
    <t>Всего согласно договора</t>
  </si>
  <si>
    <t>Инженерные изыскания</t>
  </si>
  <si>
    <t xml:space="preserve">ГАП </t>
  </si>
  <si>
    <t>крафт групп</t>
  </si>
  <si>
    <t>Менеджер проекта</t>
  </si>
  <si>
    <t>Конструкции металлические</t>
  </si>
  <si>
    <t>Электроснабжение, электроснабжение</t>
  </si>
  <si>
    <t>Отопление, вентилияция и кондиционирование</t>
  </si>
  <si>
    <t>Ландшафтный архитектор</t>
  </si>
  <si>
    <t>Архитектура</t>
  </si>
  <si>
    <t>Визуализация</t>
  </si>
  <si>
    <t>затраты проектной группы на расчет стоимости проектирования</t>
  </si>
  <si>
    <t>дополнительные затраты на проверку работы фрилансера выпуск документации</t>
  </si>
  <si>
    <t>ПЗУ</t>
  </si>
  <si>
    <t>Богомазюк Дарья</t>
  </si>
  <si>
    <t>ИТОГО</t>
  </si>
  <si>
    <t>Прибыль</t>
  </si>
  <si>
    <t>проект закрыт/оплачен</t>
  </si>
  <si>
    <t>ТАВАТУЙ Золотое сечение</t>
  </si>
  <si>
    <t xml:space="preserve">ГИП </t>
  </si>
  <si>
    <t>56 317,80</t>
  </si>
  <si>
    <t>15 018,08</t>
  </si>
  <si>
    <t>Генеральный план</t>
  </si>
  <si>
    <t>30 036,16</t>
  </si>
  <si>
    <t>Сахаутдинов Руслан</t>
  </si>
  <si>
    <t>Архитектурно-строительные чертежи (АР+КР)</t>
  </si>
  <si>
    <t>101 372,04</t>
  </si>
  <si>
    <t>Мустафин Дмитрий</t>
  </si>
  <si>
    <t>Электроснабжение, электросвещение</t>
  </si>
  <si>
    <t>37 545,20</t>
  </si>
  <si>
    <t>Раевская Ксения</t>
  </si>
  <si>
    <t>Наружные сети водоснабжения и канализации (НВК)</t>
  </si>
  <si>
    <t>22 527,12</t>
  </si>
  <si>
    <t>Сети связи</t>
  </si>
  <si>
    <t>Берелет Сергей</t>
  </si>
  <si>
    <t>сметная документация</t>
  </si>
  <si>
    <t>60 072,32</t>
  </si>
  <si>
    <t>Доп. Затраты на проверку с/с работы фрилансера, выпуск документации</t>
  </si>
  <si>
    <t>13 140,81</t>
  </si>
  <si>
    <t>366 065,69</t>
  </si>
  <si>
    <t xml:space="preserve"> ДОБРОЛЮБОВА 19А ПРОФИТ</t>
  </si>
  <si>
    <t>Инженерные изыскания (ИГДИ, ИГИ) - Горизонт ГЕО</t>
  </si>
  <si>
    <t>Горизонт Гео</t>
  </si>
  <si>
    <t>Историко-культурные изыскания (археологические) - Астра</t>
  </si>
  <si>
    <t>ООО Астра</t>
  </si>
  <si>
    <t>Обеспечение сохранности ОКН "Культурный слой г. Екатеринбурга" - Астра</t>
  </si>
  <si>
    <t xml:space="preserve">нет </t>
  </si>
  <si>
    <t>культурный слой не обнаружен</t>
  </si>
  <si>
    <t>Разработка раздела РХР - ВНИРО</t>
  </si>
  <si>
    <t>справка заказана</t>
  </si>
  <si>
    <t>Необходимость разработки уточнить. Справка о категории реки запрошена 26.06.2024. На период заключения договора дествовало ПП РФ№310 от 27.02.23- не требовалось согласование росрыб.</t>
  </si>
  <si>
    <t>Книга 1 Историко-архивные и библиографические исследования (искусствовед) (ИАБИ)</t>
  </si>
  <si>
    <t>ИП Гущина</t>
  </si>
  <si>
    <t>Научно-проектная документация (Раздел 1 "Предварительные работы" - ИРД, ПИ, Раздел 2 "Комплексные научные исследования"-  АИ, ИХТИ, ФФ, ОКНИ; -01-ЭП.ПЗ, -02-ЭП.ПЗ + научное руководство)</t>
  </si>
  <si>
    <r>
      <t>Шахт О.Д. (</t>
    </r>
    <r>
      <rPr>
        <b/>
        <sz val="12"/>
        <color indexed="2"/>
        <rFont val="Carlito"/>
      </rPr>
      <t>485 416</t>
    </r>
    <r>
      <rPr>
        <b/>
        <sz val="12"/>
        <rFont val="Carlito"/>
      </rPr>
      <t>)</t>
    </r>
  </si>
  <si>
    <t>Шурфы (земляные работы) - БАУТЕКС  (к ИХТИ)</t>
  </si>
  <si>
    <t>ООО "Баутекс"</t>
  </si>
  <si>
    <t>Лабораторные исследования (к ИХТИ)</t>
  </si>
  <si>
    <t>готово</t>
  </si>
  <si>
    <t>Поверочные расчеты  (к ИХТИ)</t>
  </si>
  <si>
    <t>Бунда Дмитрий</t>
  </si>
  <si>
    <t>Обмеры - ИП Калашников  (к ОЧ)</t>
  </si>
  <si>
    <t>ИП Калашников + Албогачиев И</t>
  </si>
  <si>
    <t>ГИП</t>
  </si>
  <si>
    <t>Раздел 2 «Схема планировочной организации земельного участка» ПЗУ (ГП)</t>
  </si>
  <si>
    <t>Богомазюк Д</t>
  </si>
  <si>
    <t>Раздел 3 «Объемно-планировочные и архитектурные решения» АР (АР)</t>
  </si>
  <si>
    <t>Медведева Татьяна</t>
  </si>
  <si>
    <t>Раздел 4 «Конструктивные решения» КР (АС)</t>
  </si>
  <si>
    <t>Мирошкина Ирина</t>
  </si>
  <si>
    <t xml:space="preserve">Раздел 5 «Сведения об инженерном оборудовании, о сетях и системах инженерно-технического обеспечения». </t>
  </si>
  <si>
    <t xml:space="preserve"> Подраздел 1 «Система электроснабжения»  ИОС1 (ЭС, ЭОМ, ЭН, ЭО)</t>
  </si>
  <si>
    <t>Виноградова О</t>
  </si>
  <si>
    <t xml:space="preserve"> Подраздел 2 «Система водоснабжения». ИОС2 (ВВ)</t>
  </si>
  <si>
    <t xml:space="preserve">Раздел 5 «Сведения об инженерном оборудовании, о сетях и системах инженерно-технического обеспечения».  </t>
  </si>
  <si>
    <t xml:space="preserve"> Подраздел 3 «Система водоотведения» ИОС3 (ВК)</t>
  </si>
  <si>
    <t>Раздел 5 «Сведения об инженерном оборудовании, о сетях и системах инженерно-технического обеспечения». Подраздел 4 «Отопление, вентиляция и кондиционирование воздуха, тепловые сети». ИОС4 (ОВ)</t>
  </si>
  <si>
    <t>Крошкина Екатерина</t>
  </si>
  <si>
    <t>Раздел 5 «Сведения об инженерном оборудовании, о сетях и системах инженерно-технического обеспечения». Подраздел 5 «Сети связи» ИОС5+ПБ2 (СС)</t>
  </si>
  <si>
    <t>Коробко Антон</t>
  </si>
  <si>
    <t>Раздел 6 «Технологические решения» ТР (ТХ)</t>
  </si>
  <si>
    <t>Рыжкова Анна</t>
  </si>
  <si>
    <t>Раздел 7 «Проект организации строительства», содержащий в том числе проект организации работ по сносу объектов капитального строительства, их частей» ПОС</t>
  </si>
  <si>
    <t>Рашевский Дмитрий</t>
  </si>
  <si>
    <t>Раздел 8 «Перечень мероприятий по охране окружающей среды» ООС</t>
  </si>
  <si>
    <t>Рябкова Светлана</t>
  </si>
  <si>
    <t>Раздел 9 «Мероприятия по обеспечению пожарной безопасности» ПБ1</t>
  </si>
  <si>
    <t>Белокуров Роман</t>
  </si>
  <si>
    <t>Раздел 10 «Требования к обеспечению безопасной эксплуатации объектов капитального строительства» ТБЭ</t>
  </si>
  <si>
    <t>Иванова Оксана</t>
  </si>
  <si>
    <t>Раздел 11 «Мероприятия по обеспечению доступа инвалидов» ОДИ</t>
  </si>
  <si>
    <t>Раздел 12 «Смета на строительство, реконструкцию, капитальный ремонт, снос объекта капитального строительства» СМ</t>
  </si>
  <si>
    <t>Гавриловская Люда</t>
  </si>
  <si>
    <t>Доп. затраты на проверку с/с работы фрилансера, выпуск документации</t>
  </si>
  <si>
    <t>командировки печать</t>
  </si>
  <si>
    <t>Выполнение работ по сохранению объекта культурного наследия регионального значения «Здание, в котором в годы Великой Отечественной войны находился горисполком и горком комсомола. Отсюда была направлена первая группа девушек в освобождённые районы на комсомольскую работу», расположенного по адресу г. Тобольск, ул. Мира, 4А - АО "РОСТ МЕДИА"</t>
  </si>
  <si>
    <t>ИИ (ИГИ, ИГДИ)</t>
  </si>
  <si>
    <t>КП от тюментгеотехальянс</t>
  </si>
  <si>
    <t>3D сканирование (к ОЧ)</t>
  </si>
  <si>
    <t>КП от СПО УРАЛ, оформление Албогачиев И.М. - в штате 89221870727</t>
  </si>
  <si>
    <t>Историк КНИ  (ИАБИ)</t>
  </si>
  <si>
    <t xml:space="preserve"> Сафоновой М.Н (г. Тобольск) срок 15.10.2024</t>
  </si>
  <si>
    <t>Обследование (шурфы) (к ИХТИ)</t>
  </si>
  <si>
    <t>лабораторные исследования (к ИХТИ)</t>
  </si>
  <si>
    <t>Стройтехконтроль - 21000, с выездом 51000</t>
  </si>
  <si>
    <t>поверочные расчеты (к ИХТИ)</t>
  </si>
  <si>
    <t>Шахт О.Д.</t>
  </si>
  <si>
    <t>Проект предмета охраны КНИ (ПО)</t>
  </si>
  <si>
    <t>Сафоновой М.Н (г. Тобольск)</t>
  </si>
  <si>
    <t>ПР (ИРД, ПИ); КНИ  (АИ, ИХТИ, ФФ,ОКНИ), ЭП.ПЗ, МОС (здание); научно-методическое руководство</t>
  </si>
  <si>
    <t>Шахт О.Д (в штате) ГИП в НПД - аттестованный</t>
  </si>
  <si>
    <t>ГИП сопровождение ПСД</t>
  </si>
  <si>
    <t>том ПЗ - Иванова О.А.</t>
  </si>
  <si>
    <t>крафт групп - поиск специалистов</t>
  </si>
  <si>
    <t>Раздел 2 ПЗУ(ГП)</t>
  </si>
  <si>
    <t>Раздел 3 АР (АР)</t>
  </si>
  <si>
    <t>Кугаевских М.С.</t>
  </si>
  <si>
    <t>Князев В.А.</t>
  </si>
  <si>
    <t>Раздел 5 «Сведения об инженерном оборудовании, о сетях и системах инженерно-технического обеспечения». Подраздел 1 «Система электроснабжения» ИОС1 (ЭС, ЭОМ, ЭН, ЭО)</t>
  </si>
  <si>
    <t>Раздел 5 «Сведения об инженерном оборудовании, о сетях и системах инженерно-технического обеспечения». Подраздел 2 «Система водоснабжения». ИОС2 (ВВ)</t>
  </si>
  <si>
    <t>Раздел 5 «Сведения об инженерном оборудовании, о сетях и системах инженерно-технического обеспечения».  Подраздел 3 «Система водоотведения» ИОС3 (ВК)</t>
  </si>
  <si>
    <t>Раздел 7 «Проект организации реставрации» ПОР</t>
  </si>
  <si>
    <t xml:space="preserve">Суменков И.А. </t>
  </si>
  <si>
    <t>Белокуров Р.Н. - после предоставления планировок  стоимость</t>
  </si>
  <si>
    <t>Иванова О.А.</t>
  </si>
  <si>
    <t>Резерв</t>
  </si>
  <si>
    <t>справка из архива</t>
  </si>
  <si>
    <t>ОКН - Ансамбль городской насосной станции - "Дел дом на Архирейской"</t>
  </si>
  <si>
    <t>разработка научно проектной документации (электростанция насосная станция здание городских бань)</t>
  </si>
  <si>
    <t>ГИП 15%</t>
  </si>
  <si>
    <t>Раздел 2 Схема планировочной организации земельного участка</t>
  </si>
  <si>
    <t>Коновалова Анастасия</t>
  </si>
  <si>
    <t>Раздел 3 Объемно планировочные и архитектурные решения - Электростанция</t>
  </si>
  <si>
    <t>Раздел 3 Объемно планировочные и архитектурные решения - Баня</t>
  </si>
  <si>
    <t>Раздел 3 Объемно планировочные и архитектурные решения - Насосная</t>
  </si>
  <si>
    <t>Раздел 4 Конструктивные решения - Электростанция</t>
  </si>
  <si>
    <t>Раздел 4 Конструктивные решения - Баня</t>
  </si>
  <si>
    <t>Раздел 4 Конструктивные решения - Насосная</t>
  </si>
  <si>
    <t>Раздел 5 Система электрснабжения</t>
  </si>
  <si>
    <t>Яровая Екатерина</t>
  </si>
  <si>
    <t>Система водоснабжения</t>
  </si>
  <si>
    <t>Система водоотведения</t>
  </si>
  <si>
    <t>Отопление вентиляция и кондиционирование воздуха тепловые сети</t>
  </si>
  <si>
    <t>Проект организации строительства</t>
  </si>
  <si>
    <t>Перечень мероприятий по охране окружающей среды</t>
  </si>
  <si>
    <t>Мероприятия по обеспечения пожарной безопасности</t>
  </si>
  <si>
    <t>Требования к обеспечению безопасности эксплуатации объектов капитального строительства</t>
  </si>
  <si>
    <t>Мероприятия по обеспечению доступа инвалидов</t>
  </si>
  <si>
    <t>сметы на строительство</t>
  </si>
  <si>
    <t>Мандек Лариса</t>
  </si>
  <si>
    <t>Доп затраты на проверку, выпуск докмуентации</t>
  </si>
  <si>
    <t>командировки, печать</t>
  </si>
  <si>
    <t>Раздел Технологические решения (Насосная станция, Здание городских бань)</t>
  </si>
  <si>
    <t>Справка из архива по ЗГБ</t>
  </si>
  <si>
    <t xml:space="preserve"> ИРБИТ Детский технопарк (Екатаринбург)</t>
  </si>
  <si>
    <t>Техническое обследование (БАУТЕКС)</t>
  </si>
  <si>
    <t>доп шурфы дополнительные</t>
  </si>
  <si>
    <t>АС, АР Мустафин</t>
  </si>
  <si>
    <t>Производство инженерно-геологических, инженерно-геодезических, инженерно-экологических, инженерно-гидрологических изысканий</t>
  </si>
  <si>
    <t>ГИП 15% от п.15</t>
  </si>
  <si>
    <t>Менеджер проекта 2% от п.15</t>
  </si>
  <si>
    <t>Электроснабжение</t>
  </si>
  <si>
    <t>Внутренние системы водоснабжения и канализации</t>
  </si>
  <si>
    <t>Наружные сети водоснабжения и канализации</t>
  </si>
  <si>
    <t>Отопление, вентиляция и кондиционирование</t>
  </si>
  <si>
    <t>мила тэвтс</t>
  </si>
  <si>
    <t>Газоснабжение</t>
  </si>
  <si>
    <t>Сметная документация</t>
  </si>
  <si>
    <t>Архитектурно-строительные решения</t>
  </si>
  <si>
    <t xml:space="preserve">печать документации, командировочные расходы </t>
  </si>
  <si>
    <t>Экспертизам промышленной безопасности</t>
  </si>
  <si>
    <t xml:space="preserve"> КОНЦЕРТНЫЙ ЗАЛ (Екатеринбург)</t>
  </si>
  <si>
    <t>Обследование строительных конструкций (ООО Баутекс)</t>
  </si>
  <si>
    <t>300 000,00</t>
  </si>
  <si>
    <t>Разработка раздела АР (мустафин)</t>
  </si>
  <si>
    <t>900 000,00</t>
  </si>
  <si>
    <t>150 525,00</t>
  </si>
  <si>
    <t>20 070,00</t>
  </si>
  <si>
    <t>80 280,00</t>
  </si>
  <si>
    <t>90 315,00</t>
  </si>
  <si>
    <t>100 350,00</t>
  </si>
  <si>
    <t>Технологическое оборудование сцены</t>
  </si>
  <si>
    <t>50 175,00</t>
  </si>
  <si>
    <t>Суменков Иван</t>
  </si>
  <si>
    <t>Автоматизация комплексная</t>
  </si>
  <si>
    <t>сети связи</t>
  </si>
  <si>
    <t>Гавриловская Людмила</t>
  </si>
  <si>
    <t>35 122,50</t>
  </si>
  <si>
    <t>2 057 992,50</t>
  </si>
  <si>
    <t>Сибирь благоустройство</t>
  </si>
  <si>
    <t>ГИП сопровождение ПСД+ Раздел 1. Пояснительная записка</t>
  </si>
  <si>
    <t>Раздел 2. Схема планировочной организации земельного участка</t>
  </si>
  <si>
    <t>Раздел 3. Архитектурные решения</t>
  </si>
  <si>
    <t>Раздел 4. Конструктивные и объемно-планировочные решения.</t>
  </si>
  <si>
    <t>Подраздел 1. Система электроснабжения</t>
  </si>
  <si>
    <t>Подраздел 3. Система водоотведения</t>
  </si>
  <si>
    <t>Подраздел 5. Сети связи</t>
  </si>
  <si>
    <t>Раздел 6. Проект организации строительства Раздел 7. Проект организации демонтажа</t>
  </si>
  <si>
    <t>СМЕТЫ</t>
  </si>
  <si>
    <t>Объект "Реновация производственной базы АО «СУЭНКО» по адресу: Тюменская обл., город Тобольск, Базарная площадь"</t>
  </si>
  <si>
    <t>1 200 000,00</t>
  </si>
  <si>
    <t>750 000,00</t>
  </si>
  <si>
    <t>Обследование зданий (крыш)</t>
  </si>
  <si>
    <t>Паспорта фасадов</t>
  </si>
  <si>
    <t>Крафт Групп</t>
  </si>
  <si>
    <t>Раздел 2. Схема планировочной организации земельного участка - отработка замечаний</t>
  </si>
  <si>
    <t>Подраздел 2. Система водоснабжения</t>
  </si>
  <si>
    <t>Подраздел 4. Отопление, вентиляция и кондиционирование воздуха, тепловые сети</t>
  </si>
  <si>
    <t>Подраздел 6. Система газоснабжения</t>
  </si>
  <si>
    <t>Подраздел 7. Технологические решения</t>
  </si>
  <si>
    <t>Раздел 8. Перечень мероприятий по охране окружающей среды</t>
  </si>
  <si>
    <t>Раздел 9. Мероприятия по обеспечению пожарной безопасности</t>
  </si>
  <si>
    <t>Раздел 12. «Иная документация в случаях, предусмотренных федеральными законами»</t>
  </si>
  <si>
    <t>ЛАО - Объект "50 лет Октября, 50, 54, Одесская, 40, 40а, 44"</t>
  </si>
  <si>
    <t>ИИ (инженерные изыскания)</t>
  </si>
  <si>
    <t>ГИП сопровождение ПСД+Раздел 1. Пояснительная записка</t>
  </si>
  <si>
    <t xml:space="preserve">СМЕТЫ </t>
  </si>
  <si>
    <t xml:space="preserve"> ЛАО - Геологаразведчиков 12а</t>
  </si>
  <si>
    <t>Эко-парка «Затюменский» в районе улиц Аккумуляторная-Барнаульская» в городе Тюмени с благоустройством территории"</t>
  </si>
  <si>
    <t>Историко культурные изыскания</t>
  </si>
  <si>
    <t>Ландшафт</t>
  </si>
  <si>
    <t>Дизайн проект адм. строение 1.2 блок</t>
  </si>
  <si>
    <t>Раздел 6. |7 Проект организации строительства| Проект организации демонтажа</t>
  </si>
  <si>
    <t>Объект "Благоустройство территории в районе оз. Цимлянское"</t>
  </si>
  <si>
    <t>ГИДРОМЕТ</t>
  </si>
  <si>
    <t>Объект "Благоустройство дворовой территории по ул. Севастопольская 5,7, ул. Энергетиков 49,51 а" Служба заказчика ЛАО</t>
  </si>
  <si>
    <t>ТГТА</t>
  </si>
  <si>
    <t>ГП</t>
  </si>
  <si>
    <t>Кунаева Д.И.</t>
  </si>
  <si>
    <t>АС</t>
  </si>
  <si>
    <t>Ливневая канализация</t>
  </si>
  <si>
    <t>Баранчугов А.А.</t>
  </si>
  <si>
    <t>Наружное электроосвещение</t>
  </si>
  <si>
    <t>Бочкарева А.И.</t>
  </si>
  <si>
    <t>Объект "Благоустройство дворовой территории по ул. Инженерная, 70" Служба заказчика КАО</t>
  </si>
  <si>
    <t>Схема планировочной организации земельного участка</t>
  </si>
  <si>
    <t xml:space="preserve">Архитектурно-строительные решения </t>
  </si>
  <si>
    <t xml:space="preserve">Наружное электроосвещение </t>
  </si>
  <si>
    <t>Объект "Благоустройство дворовой территории по ул. Авторемонтная, 17, 21."Служба заказчика КАО</t>
  </si>
  <si>
    <t>(40% на ПД)</t>
  </si>
  <si>
    <t> </t>
  </si>
  <si>
    <t>Эскизное проектирование комплекса историко-патриотического воспитания «Танкоград» на территории «Сада Победы»</t>
  </si>
  <si>
    <t>Дендрологическое обследование зеленых насаждений</t>
  </si>
  <si>
    <t>ИИ (топо, геология)*</t>
  </si>
  <si>
    <t xml:space="preserve">Негосударственная экспертиза достоверности смет </t>
  </si>
  <si>
    <t>На разработку ЭП, РД</t>
  </si>
  <si>
    <t xml:space="preserve">Руководитель архитектурного проектирования </t>
  </si>
  <si>
    <t>Эскизный проект (АР, визуализатор, дизайн)</t>
  </si>
  <si>
    <t xml:space="preserve">АР </t>
  </si>
  <si>
    <t>КР</t>
  </si>
  <si>
    <t>ВК   НВК</t>
  </si>
  <si>
    <t>ОВ</t>
  </si>
  <si>
    <t>ТХ</t>
  </si>
  <si>
    <t>ПОС</t>
  </si>
  <si>
    <t>ПБ</t>
  </si>
  <si>
    <t>ОДИ</t>
  </si>
  <si>
    <t>"Реконструкция из здания склада в здание тренажера, находящегося по адресу г. Тюмень, ул. А. Туполева 2, стр.1"</t>
  </si>
  <si>
    <t>Негосударственная экспертиза ПД</t>
  </si>
  <si>
    <t>Затраты на разработку (в объеме ПД+РД)
(% от п.3)</t>
  </si>
  <si>
    <t>Визуализатор/дизайнер</t>
  </si>
  <si>
    <t>АР</t>
  </si>
  <si>
    <t>Макарчук Павел Валерьевич (СЗ)</t>
  </si>
  <si>
    <t>Санин Евгений Леонидович (СЗ)</t>
  </si>
  <si>
    <t>Лысакова Евгения (СЗ) ИОС4</t>
  </si>
  <si>
    <t>Коробко Антон Сергеевич (СЗ)</t>
  </si>
  <si>
    <t>ООС</t>
  </si>
  <si>
    <t>ТБЭ</t>
  </si>
  <si>
    <t>Белокуров Роман Николаевич (СЗ)</t>
  </si>
  <si>
    <t>Итого ОСТАТОК (за вычетом расходов на ПД+РД)</t>
  </si>
  <si>
    <t>Лыжно-биатлонный центр г. Тарко-Сале</t>
  </si>
  <si>
    <t>Исполнительный директор (Саврина)</t>
  </si>
  <si>
    <t>Архитектор (инженер АР)</t>
  </si>
  <si>
    <t>Архитектор-концептуалист+визуализации</t>
  </si>
  <si>
    <t>Дизайнер интерьеров</t>
  </si>
  <si>
    <t>Графический дизайнер</t>
  </si>
  <si>
    <t>Командировка</t>
  </si>
  <si>
    <t>Рыжкова Анна Анатольевна (СЗ)</t>
  </si>
  <si>
    <t>Итого ОСТАТОК (за вычетом расходов на ПД)</t>
  </si>
  <si>
    <t xml:space="preserve">Выполнение работ по сохранению объекта культурного наследия регионального значения II Этап строительства "Насосная станция", расположенный по адресу: Тюменская область, г.Тобольск, ул. Базарная площадь, 18, соор.2  III Этап строительства "Здание городской насосной станции", расположенный по адресу: Тюменская область, г.Тобольск, ул. Базарная площадь, 1  </t>
  </si>
  <si>
    <t>Всего согласно договора (18667881,04-16067142,07)</t>
  </si>
  <si>
    <t>Архивная справка (ЗГБ)</t>
  </si>
  <si>
    <t>ПР (ИРД, ПИ); КНИ  (ОЧ, АИ, ФФ, ОКНИ), ЭП.ПЗ, МОС (здание), ПО; научно-методическое руководство</t>
  </si>
  <si>
    <t>Затраты на разработку ПД+РД</t>
  </si>
  <si>
    <t>ПЗУ(ГП)</t>
  </si>
  <si>
    <t>АР (ЭП.ГЧ)</t>
  </si>
  <si>
    <t>КР (АС)</t>
  </si>
  <si>
    <t>ИОС1 (ЭС)</t>
  </si>
  <si>
    <t>ИОС2</t>
  </si>
  <si>
    <t>ИОС3(НВК)</t>
  </si>
  <si>
    <t>ИОС4(ОВ)</t>
  </si>
  <si>
    <t>ИОС5(ПБ2)</t>
  </si>
  <si>
    <t>ТР(ТХ) кафе</t>
  </si>
  <si>
    <t>ПОР</t>
  </si>
  <si>
    <t>ПБ1</t>
  </si>
  <si>
    <t xml:space="preserve">ОКОНЧАНИЕ работ </t>
  </si>
  <si>
    <t>КОММЕНТАРИИ ГИПа</t>
  </si>
  <si>
    <t>КОММЕНТАРИИ Юриста</t>
  </si>
  <si>
    <t xml:space="preserve">Типовые условия по ФЗ 44 соблюдены. 
Пункт 4.2 и 4.5 снова противоречат друг другу в части срока устранения Подрядчиком выявленных недостатков. 
Право Заказчика удержать неустойку из оплаты выполненных работ. </t>
  </si>
  <si>
    <t xml:space="preserve">Осуществление научного руководства и авторского надзора за ремонтно-реставрационными работами на объекте культурного наследия регионального значения «Дом мещанина И.П.Нечаева», расположенного по адресу Тюменская область, г. Тюмень, ул. Ленина, д. 45 </t>
  </si>
  <si>
    <t>Шахт О.Д. (ведение ЖАН + отчет)</t>
  </si>
  <si>
    <t>Доп. затраты на проверку с/с работы, выпуск документации</t>
  </si>
  <si>
    <t>Итого ОСТАТОК (за вычетом расходов)</t>
  </si>
  <si>
    <t>Прибыль (с учетом резерва)</t>
  </si>
  <si>
    <t xml:space="preserve">Осуществление научного руководства и авторского надзора за ремонтно-реставрационными работами на объекте культурного наследия регионального значения «Жилой дом», расположенного по адресу Тюменская область, г. Тюмень, ул. Ленина, д. 47 </t>
  </si>
  <si>
    <t xml:space="preserve">Проведение строительного контроля (технического надзора) за выполнением ремонтно-реставрационных работ на объекте культурного наследия регионального значения «Дом мещанина И.П. Нечаева», расположенного по адресу Тюменская область, г. Тюмень, ул. Ленина, д.45 </t>
  </si>
  <si>
    <t xml:space="preserve">Каргаполова Венера </t>
  </si>
  <si>
    <t>Конструктор КРАФТ (Князев В.А.)</t>
  </si>
  <si>
    <t xml:space="preserve">Проведение строительного контроля (технического надзора) за выполнением ремонтно-реставрационных работ на объекте культурного наследия регионального значения «Жилой дом», расположенного по адресу Тюменская область, г. Тюмень, ул. Ленина, д. 47 </t>
  </si>
  <si>
    <t xml:space="preserve"> </t>
  </si>
  <si>
    <t xml:space="preserve">Внесение изменений в научно-проектную документацию по объекту культурного наследия регионального значения «Жилой дом», расположенного по адресу Тюменская область, г. Тюмень, ул. Ленина, д. 47 </t>
  </si>
  <si>
    <t>Затраты на корректировку (ПД)</t>
  </si>
  <si>
    <t>в т.ч. 4000 на расчет козырька; Расчет-Макарчук П., корректировка Смердов Ю. (?)</t>
  </si>
  <si>
    <t>ИОС1</t>
  </si>
  <si>
    <t>Раевских К. (разработка по ИД)</t>
  </si>
  <si>
    <t>Белан (замена планировок)</t>
  </si>
  <si>
    <t>ИОС3</t>
  </si>
  <si>
    <t>ИОС4</t>
  </si>
  <si>
    <t>Белан (разработка по ИД)</t>
  </si>
  <si>
    <t>ИОС5.5,5.7</t>
  </si>
  <si>
    <t>Коробко (разработка по ИД)</t>
  </si>
  <si>
    <t>ИОС 7 (ТХ)</t>
  </si>
  <si>
    <t>Нелаев (замена планировок)</t>
  </si>
  <si>
    <t>не требуется (предварительно)</t>
  </si>
  <si>
    <t>Итого</t>
  </si>
  <si>
    <t>Прибыль (прибыль с учетом резерва)</t>
  </si>
  <si>
    <t>Разработка рабочей документации на прокладку тепловых сетей на земельном участке площадь 18824 кв.м., с кадастровым номером 72:23:0538001:20, расположенном по адресу: РФ, Тюменская обл., г. Тюмень, ул. Туполева2, стр.1</t>
  </si>
  <si>
    <t>ВСЕГО согласно договора</t>
  </si>
  <si>
    <t>На проектирование и прибыль
(цена договора-п.1)</t>
  </si>
  <si>
    <t>Затраты на ПД
 (% от п.2)</t>
  </si>
  <si>
    <t>РП</t>
  </si>
  <si>
    <t>Саврина М.П.</t>
  </si>
  <si>
    <t>Суменков И.А.</t>
  </si>
  <si>
    <t>ТС</t>
  </si>
  <si>
    <t>Лысакова</t>
  </si>
  <si>
    <t>СМ</t>
  </si>
  <si>
    <t>поиск специалиста. Костянецкий</t>
  </si>
  <si>
    <t>Печать документации</t>
  </si>
  <si>
    <t>Всего расходы на разработку 
(с учетом резерва)</t>
  </si>
  <si>
    <t>Итого ОСТАТОК (за вычетом расходов на ПД) 
(п.2-п.3):</t>
  </si>
  <si>
    <t>Остаток с учетом резерва 
(на текущие расходы+прибыль):
(п.16+п.17)</t>
  </si>
  <si>
    <t> Электронный конкурс</t>
  </si>
  <si>
    <t>% понижения</t>
  </si>
  <si>
    <t xml:space="preserve">стоимость </t>
  </si>
  <si>
    <t xml:space="preserve">прибыль </t>
  </si>
  <si>
    <t>Разработка проектной документации по объекту: «Строительство нежилого здания (универсальный склад)» вблизи здания, расположенного по адресу: г. Тюмень, ул. Андрея Туполева,2</t>
  </si>
  <si>
    <t>Всего согласно договора без НДС</t>
  </si>
  <si>
    <t>ИГИ</t>
  </si>
  <si>
    <r>
      <t xml:space="preserve">Затраты на разработку (в объеме ПД+РД)
</t>
    </r>
    <r>
      <rPr>
        <i/>
        <sz val="11"/>
        <color theme="1"/>
        <rFont val="Times New Roman"/>
      </rPr>
      <t>(% от п.3)</t>
    </r>
  </si>
  <si>
    <t>Руководитель проекта</t>
  </si>
  <si>
    <t>Администратор проекта</t>
  </si>
  <si>
    <t>ГИП (ПЗ)</t>
  </si>
  <si>
    <t>Сопровождение РНС</t>
  </si>
  <si>
    <t>крафт</t>
  </si>
  <si>
    <t>АР(АР)</t>
  </si>
  <si>
    <t>КР(АС)</t>
  </si>
  <si>
    <t>Макарчук</t>
  </si>
  <si>
    <t>ждем согласования 1.09</t>
  </si>
  <si>
    <t>ИОС1(ЭОМ, ЭН)</t>
  </si>
  <si>
    <t>Раевская</t>
  </si>
  <si>
    <t>ИОС2, ИОС3 (ВК, НВК)</t>
  </si>
  <si>
    <t>Белан</t>
  </si>
  <si>
    <t>ИОС4 (ОВ)</t>
  </si>
  <si>
    <t>ИОС5 (СС)+доп.работы по первой части</t>
  </si>
  <si>
    <t>Коробко</t>
  </si>
  <si>
    <t>Григорьева</t>
  </si>
  <si>
    <t>Нелаев</t>
  </si>
  <si>
    <t>Белокуров</t>
  </si>
  <si>
    <t>Всего расходы на разработку</t>
  </si>
  <si>
    <t>Остаток с учетом резерва 
(на текущие расходы+прибыль):</t>
  </si>
  <si>
    <r>
      <t xml:space="preserve">Внесение изменений в научно-проектную документацию по объекту культурного наследия регионального значения «Дом мещанина И.П. Нечаева», расположенного по адресу Тюменская область, г. Тюмень, ул. Ленина, д.45 </t>
    </r>
    <r>
      <rPr>
        <b/>
        <u/>
        <sz val="16"/>
        <rFont val="Times New Roman"/>
      </rPr>
      <t>(основной договор, с учетом доп.соглашения №3 о снижении цена на стоимость ПБ)</t>
    </r>
  </si>
  <si>
    <t xml:space="preserve">Иванова О.А. </t>
  </si>
  <si>
    <t>Суменков/Цедрик</t>
  </si>
  <si>
    <t>контроль 04.09</t>
  </si>
  <si>
    <t>Смердов Ю</t>
  </si>
  <si>
    <r>
      <t xml:space="preserve">Внесение изменений в научно-проектную документацию по объекту культурного наследия регионального значения «Жилой дом», расположенного по адресу Тюменская область, г. Тюмень, ул. Ленина, д. 45 </t>
    </r>
    <r>
      <rPr>
        <b/>
        <u/>
        <sz val="16"/>
        <rFont val="Times New Roman"/>
      </rPr>
      <t>(Доп.соглашение №2)</t>
    </r>
  </si>
  <si>
    <t>Князев</t>
  </si>
  <si>
    <t>Кугаевских М.С. (часть работ в основном договоре)</t>
  </si>
  <si>
    <t>Смердов (часть работ в основном договоре)</t>
  </si>
  <si>
    <t>Белан (учтено в основном договоре)</t>
  </si>
  <si>
    <t>разработка ТХ по доп.соглашению (Рыжкова)</t>
  </si>
  <si>
    <t>ПЗ (Иванова / Суменков, анализ ИД)</t>
  </si>
  <si>
    <t>требуется (предварительно)</t>
  </si>
  <si>
    <t>Белокуров (проверка тома ПБ)</t>
  </si>
  <si>
    <r>
      <rPr>
        <b/>
        <sz val="16"/>
        <rFont val="Times New Roman"/>
      </rPr>
      <t xml:space="preserve">Внесение изменений в научно-проектную документацию по объекту культурного наследия регионального значения «Жилой дом», расположенного по адресу Тюменская область, г. Тюмень, ул. Ленина, д. 45 </t>
    </r>
    <r>
      <rPr>
        <b/>
        <u/>
        <sz val="16"/>
        <rFont val="Times New Roman"/>
      </rPr>
      <t>(доп.соглашение №1, раздел ТХ)</t>
    </r>
  </si>
  <si>
    <t>Рыжкова</t>
  </si>
  <si>
    <r>
      <t xml:space="preserve">«Строительство </t>
    </r>
    <r>
      <rPr>
        <b/>
        <u/>
        <sz val="16"/>
        <rFont val="Times New Roman"/>
      </rPr>
      <t>одноэтажного здания</t>
    </r>
    <r>
      <rPr>
        <b/>
        <sz val="16"/>
        <rFont val="Times New Roman"/>
      </rPr>
      <t xml:space="preserve"> в границах улиц Дамбовская – Мельникайте для объекта: «Многоэтажные жилые дома с объектами инфраструктуры в районе улиц Дамбовская - Мельникайте города Тюмени. Жилой дом ГП-1» , разработка рабочей документации (капитальный ремонта фасадов существующего офиса продаж): раздел АС, ЭН</t>
    </r>
  </si>
  <si>
    <t>Государственная экспертиза СМ</t>
  </si>
  <si>
    <r>
      <t xml:space="preserve">Затраты на разработку (в объеме РД)
</t>
    </r>
    <r>
      <rPr>
        <i/>
        <sz val="11"/>
        <color theme="1"/>
        <rFont val="Times New Roman"/>
      </rPr>
      <t>(% от п.3)</t>
    </r>
  </si>
  <si>
    <t>Князев В.</t>
  </si>
  <si>
    <t>ЭН</t>
  </si>
  <si>
    <t>НК</t>
  </si>
  <si>
    <t>Девяткова В.</t>
  </si>
  <si>
    <t xml:space="preserve">Открытый конкурс в электронной форме </t>
  </si>
  <si>
    <t>Объект "Обустройство лыжных трасс в Западном административном округе города Москвы"</t>
  </si>
  <si>
    <t>Архитектор</t>
  </si>
  <si>
    <t xml:space="preserve">Визуализатор </t>
  </si>
  <si>
    <t>ОКОНЧАНИЕ ПОДАЧИ ЗАЯВОК</t>
  </si>
  <si>
    <t>Критерии подачи</t>
  </si>
  <si>
    <t>1. Цена контракта - 60 % 
(наилучшее ценовое предложение из числа предложенных)
2. Квалификация участников - 40 % (наличие опыта участников, общее количество исполненных  договоров)
Показатель оценки:
Оценивается предложение участника об общем количестве исполненных участником закупки контрактов (договоров) за последние 5 лет
В случае если контракты заключены в электронной форме, опыт может быть подтвержден размещенными на сайте Единой информационной системы</t>
  </si>
  <si>
    <t>Банковская гарантия на участие</t>
  </si>
  <si>
    <t>1%
(71 631,90)</t>
  </si>
  <si>
    <t>Банковская гарантия на исполнение</t>
  </si>
  <si>
    <t>5 %
(358 159,50)</t>
  </si>
  <si>
    <t>Срок выполнения работ с 15.05.2024 до 01.11.2024 (170 календарных дней) 5 территорий. Общая площадь проектирования 548,38 га.
Заказчик предоставляет: топосъемку (в формате двг с подеревной съемкой) и ТУ</t>
  </si>
  <si>
    <t>Пункт 4.2 и 4.5 противоречат друг другу в части срока устранения Подрядчиком замечаний, выявленных при приёмке работ (7 календарных дней и 3 календарных дня) .
Пункт 5.1.6 Контракта - объём и стоимость работ будут проверяться контролирующими органами после исполнения Контракта и его оплаты. Могут быть выявлены странные замечания. как итог либо соглашаться, либо уходить в суды, оспаривать эти замечания.
Пункт 2.8 и 2.9 ТЗ: согласование разработанной концепции в 2 инстанциях Москвы: - комитет по архитектуре - департамент природопользования Сроки рассмотрения и согласования Концепции не нашла, они влияют на общий срок Подрядчика на выполнение работ.
Если концепция не будет согласована, то Заказчик вправе принять решение о нецелесообразности дальнейшей разработки, о чём он уведомляет Подрядчика. Про частичную оплату в контракте нет ни слова. РИСК.
Пункт 2.3 ТЗ - 1 рабочий день после заключения контракта на направление Заказчику информации по адресу и людям по взаимодействию (если нарушить М.Б.ШТРАФ) А так текст контракта типовой, содержит все моменты, которые должны быть предусмотрены</t>
  </si>
  <si>
    <t>Объект "Обустройству парков в Западном административном округе города Москвы (благоустройство парка Пионерский (зона отдыха без купания "Мазиловский пруд"))</t>
  </si>
  <si>
    <t>ИИ (геология, экология, гидрометеологические)</t>
  </si>
  <si>
    <t>НО (Наружное освещение)</t>
  </si>
  <si>
    <t>ЭС</t>
  </si>
  <si>
    <t>ВК/НВК</t>
  </si>
  <si>
    <t>ООС (+справки)</t>
  </si>
  <si>
    <t xml:space="preserve">Тех. Регламент обращения с отходами строит. И сноса </t>
  </si>
  <si>
    <t>1. Цена контракта - 60 % (наилучшее ценовое предложение)
2. Квалификация участников - 40 % (наличие опыта выполнения работ, общая цена исполненных участником закупки договоров)
Показатель оценки:
Оценивается предложение участника об общей цене исполненных участником закупки контрактов (договоров) за последние 5 лет
В случае если контракты заключены в электронной форме, опыт может быть подтвержден размещенными на сайте Единой информационной системы</t>
  </si>
  <si>
    <t>1 %
(299 926,70)</t>
  </si>
  <si>
    <t>5 %                
(1 499 633, 50)</t>
  </si>
  <si>
    <r>
      <t xml:space="preserve">Срок выполнения проектных работ 01.06.2024 по 31.10.2024 (152 календарных дня/ 107 раб. дней) Ориентировочная    площадь    участка    комплексного    благоустройства в соответствии с заявкой - 19,91 га
</t>
    </r>
    <r>
      <rPr>
        <i/>
        <sz val="14"/>
        <color theme="1"/>
        <rFont val="Liberation Sans"/>
      </rPr>
      <t>При расчете 40% от стоимости договора на проектные работы остается хороший резерв.</t>
    </r>
  </si>
  <si>
    <t>Объект "Благоустройство парка вдоль линии метро от ст. м. Пионерская до ул. Пивченкова"</t>
  </si>
  <si>
    <t>1. Цена контракта - 60 % (наилучшее ценовое предложение)
2. Квалификация участников - 40 % (наличие опыта участников, общая цена исполненных участником закупки договоров)
Показатель оценки:
Оценивается предложение участника об общей цене исполненных участником закупки контрактов (договоров) за последние 5 лет
В случае если контракты заключены в электронной форме, опыт может быть подтвержден размещенными на сайте Единой информационной системы</t>
  </si>
  <si>
    <t>1 %
(183 241,10)</t>
  </si>
  <si>
    <t>5 %                
(916 205,50)</t>
  </si>
  <si>
    <t>Срок выполнения проектных работ 01.06.2024 по 31.10.2024. Срок выполнения проектных работ 01.06.2024 по 31.10.2024 (152 календарных дня/ 107 раб. дней) Ориентировочная    площадь участка благоустройства  - 5,9 га</t>
  </si>
  <si>
    <t>АУКЦИОН</t>
  </si>
  <si>
    <t>Объект "Благоустройство территорий в городе Вологде: площадь Возрождения, сквер на площади Революции, сквер у церкви Иоанна Предтечи в Рощенье"</t>
  </si>
  <si>
    <t>Обследование</t>
  </si>
  <si>
    <t>Проведение археологической разведки</t>
  </si>
  <si>
    <t>МОС</t>
  </si>
  <si>
    <t>ГИКЭ обеспечению сохранности ОКН</t>
  </si>
  <si>
    <t xml:space="preserve">ГЭ смет </t>
  </si>
  <si>
    <t xml:space="preserve">ПД Фонтан </t>
  </si>
  <si>
    <t>На разработку ПД</t>
  </si>
  <si>
    <t>Архитектурные решения</t>
  </si>
  <si>
    <t>Внутренние сети электроснабжения/Электроснабжение</t>
  </si>
  <si>
    <t>Отопление и вентиляция</t>
  </si>
  <si>
    <t>Видеонаблюдение».WI-FI</t>
  </si>
  <si>
    <t>1. Цена контракта - 100 % (наилучшее ценовое предложение)</t>
  </si>
  <si>
    <t>1%
248 427,3157 ₽</t>
  </si>
  <si>
    <t>10%
 2 484 273,157 ₽</t>
  </si>
  <si>
    <t>Срок выполнения проектных работ 05.11.2025 Площадь участка благоустройства  - 6 га</t>
  </si>
  <si>
    <t>Объект "Выполнение работ по изготовлению проектно-сметной документации по дополнительному благоустройству Спортивного парка в поселении Десеновское."</t>
  </si>
  <si>
    <t>ИИ (геология, экология)</t>
  </si>
  <si>
    <t>1) цена контракта - 60 %
(наилучшее ценовое предложение)
2) Квалификация - 40 %
(наличие опыта работы (общая цена исполненных договоров))
Показатель оценки:
Оценивается предложение участника закупки об общей цене исполненных участником закупки контрактов (договоров) за последние 5 лет</t>
  </si>
  <si>
    <t>1 %
172 910,99 ₽</t>
  </si>
  <si>
    <t>10 % 
1 729 109,91 ₽</t>
  </si>
  <si>
    <t>Срок выполнения проектных работ 180 календарных деней. Площадь участка благоустройства  - 12 га. + каток с искуственным покрытием</t>
  </si>
  <si>
    <t>Открытый конкурс в электронной форме</t>
  </si>
  <si>
    <t>Объект Выполнение работ по инженерным изысканиям, подготовке проектной и рабочей
документаций по объекту «Благоустройство природного рекреационного комплекса
«Старозагородный»</t>
  </si>
  <si>
    <t>стоимость </t>
  </si>
  <si>
    <t>прибыль </t>
  </si>
  <si>
    <t>"Выполнение работ по разработке проектной документации по объекту: "Капитальный ремонт комплекса объектов ГБУ ЛО "Центр"Молодежный""</t>
  </si>
  <si>
    <t xml:space="preserve">Обследовательские работы (сущ. зданий) </t>
  </si>
  <si>
    <t>ИИ (геодезия)</t>
  </si>
  <si>
    <t>ГЭ смет</t>
  </si>
  <si>
    <t>Архитектурно-строительные решения, КР</t>
  </si>
  <si>
    <t>критерии подачи - 1) член СРО (архитектура)
2) наличие опыта
порядок оценки - 1) цена контракта - 60 %
(наилучшее ценовое предложение)
2) Квалификация - 100%
20% - наличие опыта (общая цена исполненных контрактов)
80 % - наличие работников определенного уровня квалификации</t>
  </si>
  <si>
    <t>Срок выполнения проектных работ 180 календарных деней. Площадь участка благоустройства  - 5,72  га. 7 зданий и благоустройство, дизайн основных помещений</t>
  </si>
  <si>
    <t>Всего согласно договора( 5 922 173)</t>
  </si>
  <si>
    <t>ИГМИ, ИЭИ по отдельному договору (295тр) у нас КП на 520тр</t>
  </si>
  <si>
    <t>МОС (археология)</t>
  </si>
  <si>
    <t>по отдельному договору Адамов -150 тр, С РОСТ МЕДИА договор на 250тр</t>
  </si>
  <si>
    <t>Историк (ИАБИ)</t>
  </si>
  <si>
    <t>Софронова</t>
  </si>
  <si>
    <t>Стройтехконтроль</t>
  </si>
  <si>
    <t>делает Салихов Т. -25т.р</t>
  </si>
  <si>
    <t>было 100000</t>
  </si>
  <si>
    <t>ПР (ИРД, ПИ); КНИ  (АИ, ИХТИ, ФФ ОКНИ), ЭП.ПЗ, МОС (здание), ПО; научно-методическое руководство</t>
  </si>
  <si>
    <t>договор сделать с ОД было 450000 сюда 100000 за ПО</t>
  </si>
  <si>
    <t xml:space="preserve"> Срок выполнения проектных работ 17.06.2024 по 19.01.2026 
Ориентировочная площадь участка благоустройства в границах здания </t>
  </si>
  <si>
    <t>Электронный аукцион</t>
  </si>
  <si>
    <t>"Благоустройство набережной реки Оскол (3 очередь)", Белгородская обл., г. Старый Оскол</t>
  </si>
  <si>
    <t xml:space="preserve">ИИ </t>
  </si>
  <si>
    <t>ГЭ смет (за счет заказчика)</t>
  </si>
  <si>
    <t>Срок выполнения проектных работ 31.12.2024</t>
  </si>
  <si>
    <t>«Детский загородный образовательный центр «Астера», по адресу: Свердловская обл., Богдановичский  район, с. Кунарское</t>
  </si>
  <si>
    <t xml:space="preserve">Обследовательские работы (сущ. 8 зданий) </t>
  </si>
  <si>
    <t xml:space="preserve">ГЭ </t>
  </si>
  <si>
    <t xml:space="preserve">ЭЭ (томе не будет, но расчеты нужны) </t>
  </si>
  <si>
    <t>Обследование (выезд на объект, предпроектное обследование). Составление акта обследования, с указанием фактического состояния проектируемого участка.</t>
  </si>
  <si>
    <t xml:space="preserve">Включим в ТЗ изыскателей </t>
  </si>
  <si>
    <t xml:space="preserve">ИИ (топо, геология) * см. коментарии ГИПа </t>
  </si>
  <si>
    <t>Опыт выполнения аналогичных работ (Общая сумма заключенных договоров )- 40%,
Цена контракта - 60% (наилучшее ценовое приложение)
К оценке будут приниматься контракты на сумму не меньше чем нмцк.</t>
  </si>
  <si>
    <t xml:space="preserve">Общая площадь 2,6 га, срок выполнения работ по 16.12.2024 В техническом задании есть только дендрологическое обследование, но мы понимаем, что нам необходимо будет выполнить топосъемку и геологию. 
В случае выигрыша тендера предлагаю указать Заказчику на данный пробел в ТЗ и сделать доп. ТЗ с доп. оплатой.  </t>
  </si>
  <si>
    <t>Капитальный ремонт здания, благоустройство территории МАОУ СОШ № 9, расположенного по адресу: Тюменская область, г. Тобольск, 4 микрорайон, № 41</t>
  </si>
  <si>
    <t>Инженерно-геодезические изыскания</t>
  </si>
  <si>
    <t xml:space="preserve">Обследование здания </t>
  </si>
  <si>
    <t>Инженерно-геологические изыскания*</t>
  </si>
  <si>
    <t xml:space="preserve">Экспертиза </t>
  </si>
  <si>
    <t>На разработку Дизайна, ПД, РД</t>
  </si>
  <si>
    <t xml:space="preserve">Визуализатор/ дизайнер  </t>
  </si>
  <si>
    <t>ТХ*</t>
  </si>
  <si>
    <r>
      <rPr>
        <b/>
        <sz val="14"/>
        <color theme="1"/>
        <rFont val="Times New Roman"/>
      </rPr>
      <t xml:space="preserve">гос. экспертиза смет. Срок разработки ПД - 10 месяцев, очень сжато
</t>
    </r>
    <r>
      <rPr>
        <sz val="14"/>
        <color theme="1"/>
        <rFont val="Times New Roman"/>
      </rPr>
      <t xml:space="preserve">Площадь земельного участка – 21979,9 м². 
- Вместимость школы – 690 учащихся. Площадь здания </t>
    </r>
    <r>
      <rPr>
        <i/>
        <sz val="14"/>
        <color theme="1"/>
        <rFont val="Times New Roman"/>
      </rPr>
      <t xml:space="preserve">примерно  </t>
    </r>
    <r>
      <rPr>
        <sz val="14"/>
        <color theme="1"/>
        <rFont val="Times New Roman"/>
      </rPr>
      <t xml:space="preserve">10800 м2. 
* - не учтено в ТЗ и сметах на ПИР, но протребуется </t>
    </r>
  </si>
  <si>
    <t>пени составит 6 892,14 рублей в день исходя из размера ставки ЦБ РФ 18%
Она тоже может быть увеличена в любой момент</t>
  </si>
  <si>
    <t>Капитальный ремонт здания, благоустройство территории МАОУ «Гимназия имени Н.Д. Лицмана», расположенного по адресу: Тюменская область, г. Тобольск, 7 микрорайон, № 54</t>
  </si>
  <si>
    <t>Экспертиза</t>
  </si>
  <si>
    <r>
      <rPr>
        <b/>
        <sz val="14"/>
        <color theme="1"/>
        <rFont val="Times New Roman"/>
      </rPr>
      <t xml:space="preserve">гос. экспертиза смет. Срок разработки ПД - 10 месяцев, очень сжато
</t>
    </r>
    <r>
      <rPr>
        <sz val="14"/>
        <color theme="1"/>
        <rFont val="Times New Roman"/>
      </rPr>
      <t xml:space="preserve">* - не учтено в ТЗ и сметах на ПИР, но протребуется 
</t>
    </r>
  </si>
  <si>
    <r>
      <t xml:space="preserve">пени составит 8 090,44 рублей в день </t>
    </r>
    <r>
      <rPr>
        <b/>
        <sz val="14"/>
        <color theme="1"/>
        <rFont val="Times New Roman"/>
      </rPr>
      <t>исходя из размера ставки ЦБ РФ 18%
Она тоже может быть увеличена в любой момент</t>
    </r>
  </si>
  <si>
    <t>Благоустройство территории Михайловского парка в п. Бобровский Сысертского городского округа</t>
  </si>
  <si>
    <t>Инженерно-геодезические изыскания (1,8 га)</t>
  </si>
  <si>
    <t>Инженерно-геологические изыскания (1,8 га)</t>
  </si>
  <si>
    <r>
      <rPr>
        <b/>
        <sz val="14"/>
        <rFont val="Times New Roman"/>
      </rPr>
      <t>Государственная экспертиза</t>
    </r>
    <r>
      <rPr>
        <sz val="14"/>
        <rFont val="Times New Roman"/>
      </rPr>
      <t xml:space="preserve"> достоверности смет</t>
    </r>
  </si>
  <si>
    <t xml:space="preserve">Археология справка </t>
  </si>
  <si>
    <t>Археология том</t>
  </si>
  <si>
    <t>ЭС, ЭН</t>
  </si>
  <si>
    <t>СС</t>
  </si>
  <si>
    <r>
      <t xml:space="preserve">Окончание работ – до 01.02.2025 года (с учетом прохождения экспертизы достоверности определения сметной стоимости)
</t>
    </r>
    <r>
      <rPr>
        <b/>
        <sz val="14"/>
        <color theme="1"/>
        <rFont val="Times New Roman"/>
      </rPr>
      <t>Необходимо выполнить BIM-модель генерального плана по всем этапам благоустройства</t>
    </r>
    <r>
      <rPr>
        <sz val="14"/>
        <color theme="1"/>
        <rFont val="Times New Roman"/>
      </rPr>
      <t>. 
Трехмерную информационна   модель объекта предоставить в формате .ifc</t>
    </r>
  </si>
  <si>
    <t>Благоустройство центрального городского парка «Северное сияние» по улице Ленина в городе Югорске</t>
  </si>
  <si>
    <t>Инженерно-метеорологические изыскания (3,2 га)</t>
  </si>
  <si>
    <t>для разработки раздела ООС</t>
  </si>
  <si>
    <t>Инженерно-экологические изыскания (3,2 га)</t>
  </si>
  <si>
    <t>Инженерно-геодезические изыскания (3,2 га)</t>
  </si>
  <si>
    <t>КАФЕ, МОНОРЕЛЬСЫ, НАВЕС ДЛЯ ЗДАНИЯ ЙОГИ, ХОЗ. УЗЛЫ, ХОЗ. БЛОКИ - ТРЕБУЕТСЯ ФУНДАМЕНТЫ</t>
  </si>
  <si>
    <t>Инженерно-геологические изыскания (3,2 га)</t>
  </si>
  <si>
    <t>Государственная экспертиза смет</t>
  </si>
  <si>
    <t>оплачивает Заказчик</t>
  </si>
  <si>
    <t>На разработку ПД в объеме РД (СО, ВОР)</t>
  </si>
  <si>
    <t>ИОС 1</t>
  </si>
  <si>
    <t>ИОС 2,3</t>
  </si>
  <si>
    <t>подведение сетей к кафе, санузлу</t>
  </si>
  <si>
    <t>ИОС 4 (ТС)</t>
  </si>
  <si>
    <t>Замена элементов колодцев, понижение колодцев, перекладка и понижение сетей элементов тепловых камер, понижение тепловых камер, ремонт ограждений тепловых камер</t>
  </si>
  <si>
    <t>ИОС 5</t>
  </si>
  <si>
    <t>цена - 100% (аукцион)</t>
  </si>
  <si>
    <t>Обеспечение контракта</t>
  </si>
  <si>
    <t>30%
3 300 000,00</t>
  </si>
  <si>
    <t>Окончание работ – до 20.01.2025 года (с учетом прохождения государственной экспертизы смет), изыскания не предоставляют +  должны еще разработать ПД. ОЧЕНЬ СЖАТЫЕ СРОКИ, есть вероятность не успеть.ТЗ ПРЕДУСМОТРЕНО ВОЗВЕДЕНИЕ КАФЕ, МОНОРЕЛЬСЫ, НАВЕС ДЛЯ ЗДАНИЯ ЙОГИ, ХОЗ. УЗЛЫ, ХОЗ. БЛОКИ - ТРЕБУЮТСЯ ФУНДАМЕНТЫ (РАЗРАБОТКА ИГИ, ИГДИ). ДЛЯ РАЗРАБОТКИ ООС ТРЕБУЕТСЯ ИГМИ, ИЭИ .Экспертизу оплачивает заказчик, повторную уже мы. Исходя из условий контракта снова не понятно какая именно предусмотрена государственная/негосударственная. Сбор дополнительных иных исходных данных, необходимых для проектирования, осуществляет проектная организация самостоятельно. (ТУ запрашиваем самостоятельно).</t>
  </si>
  <si>
    <t>«г. Салехард, Благоустройство набережной р. Преображенка на участке от здания ГТРК «Ямал» (ул. Зои Космодемьянской 75) до возводимого Храмового комплекса в честь Преображения Господня»</t>
  </si>
  <si>
    <t>РХР</t>
  </si>
  <si>
    <t>Негосударственная экспертиза определения сметной стоимости</t>
  </si>
  <si>
    <t>На разработку ПД (в объеме РД)</t>
  </si>
  <si>
    <t>Корректировка концепции (визуализация, концепция)</t>
  </si>
  <si>
    <t>АР (объекты полной заводской готовности, на площадке только подключение)</t>
  </si>
  <si>
    <t>ИОС 2,3 (наружные сети)</t>
  </si>
  <si>
    <t>ИОС 5 (wifi, видеонаблюдение)</t>
  </si>
  <si>
    <t>ИОС 6 (перенос газопровода)</t>
  </si>
  <si>
    <t>ПОС (ПОД)</t>
  </si>
  <si>
    <t>Требование к участникам</t>
  </si>
  <si>
    <t>1) член СРО (проектирование)
2) наличие опыта (не менее 20% от начальной цены контракта)</t>
  </si>
  <si>
    <t>1) цена контракта - 60 % 
2) Квалификация - 40%</t>
  </si>
  <si>
    <t>1%
7 310,00 р</t>
  </si>
  <si>
    <t>10%
73 100,00 р</t>
  </si>
  <si>
    <t>Комментарий ГИПА</t>
  </si>
  <si>
    <t>Срок выполнения работ - 01.05.2025г. Общая площадь проектируемого участка - 3,1 га.
 Проектом предусмотрено корректировка концепции, проведение ИИ (ИГИ, ИГДИ), разработка ПД + РД в объеме (ПД), прохождение негосударственной экспертизы ПД (возможные проблемы - раздел РХР, канализация емкость накопитель, перенос газопровода на подземный)</t>
  </si>
  <si>
    <t>Комментарий Юриста</t>
  </si>
  <si>
    <t>Всего согласно договора(18667881,04-16067142,07)</t>
  </si>
  <si>
    <t>Разработка научно-проектной документации на проведение работ по сохранению объекта культурного наследия регионального значения «Дом А.И. Михалева», расположенного по адресу: г. Тюмень, ул. Орджоникидзе, д. 63</t>
  </si>
  <si>
    <t>КП от ООО ТГТА</t>
  </si>
  <si>
    <t>ГИКЭ</t>
  </si>
  <si>
    <t xml:space="preserve">стоимость взята из объектов аналогов </t>
  </si>
  <si>
    <t>КП от ООО АСТРА</t>
  </si>
  <si>
    <t>стоимость взята из объектов аналогов (при условии обращения в Компанию по комплексному обследованию ОКН)</t>
  </si>
  <si>
    <t>Копка шурфов (5 шт)</t>
  </si>
  <si>
    <t>стоимость при поиске отдельных Подрядчиков</t>
  </si>
  <si>
    <t>КП от Шахт
(при необходимости)</t>
  </si>
  <si>
    <t>КП от Шахт</t>
  </si>
  <si>
    <t>НПД</t>
  </si>
  <si>
    <t>ОЧ</t>
  </si>
  <si>
    <t>Крафт</t>
  </si>
  <si>
    <t>ЭП.АР</t>
  </si>
  <si>
    <t>ЭП.КР</t>
  </si>
  <si>
    <t>ПД</t>
  </si>
  <si>
    <t>ГИП сопровождение ПСД+ПЗ</t>
  </si>
  <si>
    <t>Раздел 5 «Сведения об инженерном оборудовании, о сетях и системах инженерно-технического обеспечения». Подраздел 1 «Система электроснабжения» ИОС1 (ЭОМ, ЭН)</t>
  </si>
  <si>
    <t>Раздел 5 «Сведения об инженерном оборудовании, о сетях и системах инженерно-технического обеспечения». Подраздел 2 «Система водоснабжения». ИОС2 (ВК)</t>
  </si>
  <si>
    <t>Ссылка на документацию</t>
  </si>
  <si>
    <t>https://disk.yandex.ru/d/upONPJLuJz9H_g</t>
  </si>
  <si>
    <t>08:00 по мск</t>
  </si>
  <si>
    <t>наличие опыта (закрытые контракты с 2021 года, на разработку НПД. 
Каждый контракт закрытый должен быть не менее 30% от стоимости (8 577 153,57))</t>
  </si>
  <si>
    <t>Хала/Белан</t>
  </si>
  <si>
    <t>Работы по ремонту, реставрации и приспособлению к современному использованию объекта культурного наследия регионального значения "Здание земской школы", расположенный по адресу: г. Екатеринбург, ул. Добролюбова, д. 19А.</t>
  </si>
  <si>
    <t>https://disk.yandex.ru/d/X6ZOPBNeoFzjzA</t>
  </si>
  <si>
    <t>10:15 мск</t>
  </si>
  <si>
    <t>критерии оценок нет.
Только направление коммерческого предложения</t>
  </si>
  <si>
    <t xml:space="preserve">Внесение изменений в научно-проектную документацию по объекту культурного наследия регионального значения «Дом мещанина И.П. Нечаева», расположенного по адресу Тюменская область, г. Тюмень, ул. Ленина, д.45 </t>
  </si>
  <si>
    <t>Разработка проектной (рабочей) документации по объекту
«Капитальный ремонт здания, расположенного по адресу: Тюменская область, город Тюмень,
улица Энергетиков, 98»</t>
  </si>
  <si>
    <t>ИОС2, ИОС3 (ВК)</t>
  </si>
  <si>
    <t>Запрос</t>
  </si>
  <si>
    <t>Подсветка ЖК Литературный г. Екатеринбург</t>
  </si>
  <si>
    <t>Бочкарев (он делал нам Создатели,назвал сумму 75+налог)</t>
  </si>
  <si>
    <t>Эскизный проект дизайн интерьеров</t>
  </si>
  <si>
    <t>Архитектор 1</t>
  </si>
  <si>
    <t>Архитектор 2</t>
  </si>
  <si>
    <t>Архитектор 3</t>
  </si>
  <si>
    <t>Архитектор 4</t>
  </si>
  <si>
    <t>Разработка проектной (рабочей) документации по объекту:
«Разработка проектной документации по усилению и разгрузке стальных конструкций. Для обеспечения несущей способности и гибкости существующих конструкций здания, а также проведения строительно-монтажных работ по усилению, ремонту и добавлению элементов несущих конструкций, а также замены ограждающих конструкций здания, расположенного по адресу г. Тюмень, ул. Интернациональная, д. 187, стр. 8 (литера В6, литера В17)»</t>
  </si>
  <si>
    <t xml:space="preserve">Обследование </t>
  </si>
  <si>
    <t>КР(АС,КМ)</t>
  </si>
  <si>
    <t>ИОС5(АОВ, СОТ)</t>
  </si>
  <si>
    <t>Всего расходы на разработку ПД</t>
  </si>
  <si>
    <t>Итого ОСТАТОК</t>
  </si>
  <si>
    <t>Выполнение работ по разработке проектно-сметной документации на капитальный ремонт по адресу: г.Екатеринбург,пер.Утренний, д.2</t>
  </si>
  <si>
    <t>Обследование (визуальное+детальное)</t>
  </si>
  <si>
    <t>ПЗУ (ГП)</t>
  </si>
  <si>
    <t>ИОС 1 (ЭОМ, ЭН)</t>
  </si>
  <si>
    <t>ИОС2, ИОС3 (НВК, ВК)</t>
  </si>
  <si>
    <t>ИОС4 (ОВ, ТС)</t>
  </si>
  <si>
    <t>ИОС5 (СС)</t>
  </si>
  <si>
    <t>ЭЭ</t>
  </si>
  <si>
    <t>РД ДИ Многоэтажные жилые дома с объектами инфраструктуры в районе улиц Береговая-Мысовская-Газовиков города Тюмени. Жилой дом ГП-9</t>
  </si>
  <si>
    <t>1600,1800,2000</t>
  </si>
  <si>
    <t xml:space="preserve">3 архитектора 2 месяца КРАФТ </t>
  </si>
  <si>
    <t>консультация, проверка задания на электрику</t>
  </si>
  <si>
    <t>Объекты благоустройства Страна Девелопмент (5шт)</t>
  </si>
  <si>
    <t>АР(АР)-ведущий специалист</t>
  </si>
  <si>
    <t xml:space="preserve">2 архитектора 3 месяца КРАФТ </t>
  </si>
  <si>
    <t>АР(АР)- специалисты 3 категории</t>
  </si>
  <si>
    <t xml:space="preserve">2 специалиста 3 месяца КРАФТ </t>
  </si>
  <si>
    <t>«Средняя общеобразовательная школа в микрорайоне 30А г. Сургута 
(общеобразовательная организация с универсальной безбарьерной средой)», Ханты-Мансийский автономный округ – Югра, город Сургут, микрорайон 30А</t>
  </si>
  <si>
    <t>2.1</t>
  </si>
  <si>
    <t xml:space="preserve">Инженерно геологические изыскания </t>
  </si>
  <si>
    <t>2.2</t>
  </si>
  <si>
    <t>Инженерно -геодезические изыскания</t>
  </si>
  <si>
    <t>2.3</t>
  </si>
  <si>
    <t>Инженерно-экологические изыскания</t>
  </si>
  <si>
    <t>2.4</t>
  </si>
  <si>
    <t>Инженерно-гидрометерологические изыскания</t>
  </si>
  <si>
    <t>2.5</t>
  </si>
  <si>
    <t>Инженерно-геотехнические изыскания</t>
  </si>
  <si>
    <t>3</t>
  </si>
  <si>
    <t>ГЭ ПД+СМ</t>
  </si>
  <si>
    <t>4</t>
  </si>
  <si>
    <t>Эскизный проект (в т.ч. дизайн-проектов интерьеров)</t>
  </si>
  <si>
    <t>5</t>
  </si>
  <si>
    <t>5.1</t>
  </si>
  <si>
    <t>5.2</t>
  </si>
  <si>
    <t>5.3</t>
  </si>
  <si>
    <t>ГАП</t>
  </si>
  <si>
    <t>5.4</t>
  </si>
  <si>
    <t>Менеджер проекта (помощник ГИПа)</t>
  </si>
  <si>
    <t>5.5</t>
  </si>
  <si>
    <t>5.6</t>
  </si>
  <si>
    <t>5.7</t>
  </si>
  <si>
    <t>5.8</t>
  </si>
  <si>
    <t>5.9</t>
  </si>
  <si>
    <t>5.10</t>
  </si>
  <si>
    <t>5.11</t>
  </si>
  <si>
    <t>5.12</t>
  </si>
  <si>
    <t>ИОС5</t>
  </si>
  <si>
    <t>5.13</t>
  </si>
  <si>
    <t>5.14</t>
  </si>
  <si>
    <t>5.15</t>
  </si>
  <si>
    <t>5.16</t>
  </si>
  <si>
    <t>5.17</t>
  </si>
  <si>
    <t>5.18</t>
  </si>
  <si>
    <t>5.19</t>
  </si>
  <si>
    <t>5.20</t>
  </si>
  <si>
    <t>Нормоконтроль</t>
  </si>
  <si>
    <t>5.21</t>
  </si>
  <si>
    <t>BIM-менеджер</t>
  </si>
  <si>
    <t>Итого стоимсть ПД:</t>
  </si>
  <si>
    <t>6</t>
  </si>
  <si>
    <t>Дополнительные затраты:</t>
  </si>
  <si>
    <t>7</t>
  </si>
  <si>
    <t>8</t>
  </si>
  <si>
    <t>Затраты на содержание офиса</t>
  </si>
  <si>
    <t>9</t>
  </si>
  <si>
    <t>Прибыль с учетом резерва</t>
  </si>
  <si>
    <t>«Реконструкция здания филиала ФКП "Росгосцирк" "Челябинский государственный цирк" по адресу: г. Челябинск, ул Кирова, д.25</t>
  </si>
  <si>
    <t>Инженерные изыскания+обследование</t>
  </si>
  <si>
    <t>Обследование+расчеты поверочные</t>
  </si>
  <si>
    <t>ГГЭ ПД+СМ</t>
  </si>
  <si>
    <t>Дизайн-проект/Эскизный проект (Архитектурно-художественный облик, колористический паспорт)</t>
  </si>
  <si>
    <t>(+архитектурная подсветка+уличный экран+УУ)</t>
  </si>
  <si>
    <t>(+УУ)</t>
  </si>
  <si>
    <t>(+ИТП+автоматизация+УУ)</t>
  </si>
  <si>
    <t xml:space="preserve">ПБ </t>
  </si>
  <si>
    <t>возможно СТУ</t>
  </si>
  <si>
    <t>(С 2019 года закрыт цирк. Возможно, работы велись.) Согласование с ФКП «Росгосцирк», запрос всех ТУ, технолог по цирковым технологиям (цирк, звери, звук и т.д), ГГЭ</t>
  </si>
  <si>
    <t>Запрос КП</t>
  </si>
  <si>
    <t xml:space="preserve"> ОКНРЗ «Дом жилой», расположенный по адресу Тюменская область, г. Тобольск, ул. Октябрьская, д. 9  (S=249,24 м2), 21,5% утраты, 2 этажа</t>
  </si>
  <si>
    <t xml:space="preserve">ГЭ СМ </t>
  </si>
  <si>
    <t>Заказчик-бюджет</t>
  </si>
  <si>
    <t>ИИ</t>
  </si>
  <si>
    <t>3.1</t>
  </si>
  <si>
    <t>6 шурфов + грунты (лаборатория) в ТЗ  на ИГИ</t>
  </si>
  <si>
    <t>3.2</t>
  </si>
  <si>
    <t>ИГДИ</t>
  </si>
  <si>
    <t>3.3.</t>
  </si>
  <si>
    <t>МОС здание</t>
  </si>
  <si>
    <t>3.4</t>
  </si>
  <si>
    <t>МОС.КС</t>
  </si>
  <si>
    <t xml:space="preserve">ПР </t>
  </si>
  <si>
    <t>4.1</t>
  </si>
  <si>
    <t>ИРД</t>
  </si>
  <si>
    <t>4.2</t>
  </si>
  <si>
    <t>ПИ</t>
  </si>
  <si>
    <t>4.3</t>
  </si>
  <si>
    <t>ФФ</t>
  </si>
  <si>
    <t>КНИ</t>
  </si>
  <si>
    <t>ИАБИ</t>
  </si>
  <si>
    <t>Сафронова?</t>
  </si>
  <si>
    <t>Архивная справка</t>
  </si>
  <si>
    <t>3D сканирование к ОЧ</t>
  </si>
  <si>
    <t>спо урал</t>
  </si>
  <si>
    <t>ИТИ</t>
  </si>
  <si>
    <t>расчет нагрузок (для ИТИ)</t>
  </si>
  <si>
    <t>Салихов</t>
  </si>
  <si>
    <t>4.4</t>
  </si>
  <si>
    <t>ИХТИ</t>
  </si>
  <si>
    <t>4.5</t>
  </si>
  <si>
    <t>ОКНИ</t>
  </si>
  <si>
    <t>ЭП</t>
  </si>
  <si>
    <t>ЭП.ПЗ</t>
  </si>
  <si>
    <t>Кугаевских М.С./Селюкова М.Б.</t>
  </si>
  <si>
    <t>6.1</t>
  </si>
  <si>
    <t>ГИП (сопровождение ПСД)</t>
  </si>
  <si>
    <t>6.2</t>
  </si>
  <si>
    <t>Администратор проекта (помощник ГИПа)</t>
  </si>
  <si>
    <t>6.3</t>
  </si>
  <si>
    <t>ПЗ</t>
  </si>
  <si>
    <t>6.4</t>
  </si>
  <si>
    <t>6.5</t>
  </si>
  <si>
    <t>Кугаевских М.С., Шахт О.Д.</t>
  </si>
  <si>
    <t>6.6</t>
  </si>
  <si>
    <t>6.7</t>
  </si>
  <si>
    <t>6.8</t>
  </si>
  <si>
    <t>6.9</t>
  </si>
  <si>
    <t>6.10</t>
  </si>
  <si>
    <t>ИОС5 (СС), ПБ2</t>
  </si>
  <si>
    <t>6.11</t>
  </si>
  <si>
    <t>ТР (ТХ)</t>
  </si>
  <si>
    <t>6.12</t>
  </si>
  <si>
    <t>Рашевский?</t>
  </si>
  <si>
    <t>6.13</t>
  </si>
  <si>
    <t>6.14</t>
  </si>
  <si>
    <t>6.15</t>
  </si>
  <si>
    <t>6.16</t>
  </si>
  <si>
    <t>6.17</t>
  </si>
  <si>
    <t>Гавриловсая Л.В.</t>
  </si>
  <si>
    <t>6.18</t>
  </si>
  <si>
    <t>Всего расходы на разработку ПД+РД</t>
  </si>
  <si>
    <t>ОКНРЗ «Дом жилой», расположенный по адресу Тюменская область, г. Тобольск, ул. Октябрьская, д. 5  (S=659,9 м2), 1 этаж+цоколь, 20% утраты</t>
  </si>
  <si>
    <t>4 шурфов + грунты (лаборатория) в ТЗ  на ИГИ</t>
  </si>
  <si>
    <t>3.3</t>
  </si>
  <si>
    <t>ТХ (ТР)</t>
  </si>
  <si>
    <t>ОКН РЗ «Флигель», расположенный по адресу Тюменская область, г. Тобольск, ул. Октябрьская, д. 5а  (S=153,7 м2), 1 этаж</t>
  </si>
  <si>
    <t>Электронный конкурс</t>
  </si>
  <si>
    <t>Выполнение инженерных изысканий, разработка проектной и рабочей документации по объекту "Реконструкция здания дома культуры "Геолог"</t>
  </si>
  <si>
    <t xml:space="preserve">ГЭ ПД+СМ </t>
  </si>
  <si>
    <t>Комплексные ИИ</t>
  </si>
  <si>
    <t>ИЭИ</t>
  </si>
  <si>
    <t>ИГМИ</t>
  </si>
  <si>
    <t>Обследование (визуальное+инструментальное)+ расчеты</t>
  </si>
  <si>
    <t>ГИП (сопровождение ПД+разработка ПЗ)</t>
  </si>
  <si>
    <t>Новое здание МАДОУ № 529 по проспекту Космонавтов, 99 в городе Екатеринбурге</t>
  </si>
  <si>
    <t>Эскизный проект+дизайн интерьеров</t>
  </si>
  <si>
    <t>4.6</t>
  </si>
  <si>
    <t>4.7</t>
  </si>
  <si>
    <t>4.8</t>
  </si>
  <si>
    <t>ИОС2, ИОС3</t>
  </si>
  <si>
    <t>4.9</t>
  </si>
  <si>
    <t>4.10</t>
  </si>
  <si>
    <t>4.11</t>
  </si>
  <si>
    <t>4.12</t>
  </si>
  <si>
    <t>4.13</t>
  </si>
  <si>
    <t>4.14</t>
  </si>
  <si>
    <t>ПБ+расчет рисков</t>
  </si>
  <si>
    <t>4.15</t>
  </si>
  <si>
    <t>4.16</t>
  </si>
  <si>
    <t>4.17</t>
  </si>
  <si>
    <t>4.18</t>
  </si>
  <si>
    <r>
      <t xml:space="preserve">«Средняя общеобразовательная школа в микрорайоне 30А г. Сургута 
(общеобразовательная организация с универсальной безбарьерной средой)», Ханты-Мансийский автономный округ – Югра, город Сургут, микрорайон 30А </t>
    </r>
    <r>
      <rPr>
        <b/>
        <sz val="14"/>
        <color indexed="2"/>
        <rFont val="Times New Roman"/>
      </rPr>
      <t>на 06.11.2025</t>
    </r>
  </si>
  <si>
    <r>
      <t xml:space="preserve">Всего согласно договора </t>
    </r>
    <r>
      <rPr>
        <b/>
        <sz val="14"/>
        <color indexed="2"/>
        <rFont val="Times New Roman"/>
      </rPr>
      <t>без НДС</t>
    </r>
  </si>
  <si>
    <t>ГЭ ПД (возможный консалтинг и сопровождение)</t>
  </si>
  <si>
    <t>учтено согласно расходам по шк.24 мкрн</t>
  </si>
  <si>
    <t>Прочие расходы (уточнить в процессе исполнения контракта)</t>
  </si>
  <si>
    <t>выгрузка в ГГЭ, ПЗ в exml, ВОРы для АР,КР и иных специалистов (кто не выполняет данный вид работ)</t>
  </si>
  <si>
    <t>10</t>
  </si>
  <si>
    <t>пока не определено кто будет выгружать документацию ГГЭ и формировать ПЗ в exml. Если КГ,то это могут быть доп.затраты (учтены в резерве) ИОС1, ИОС2, ИОС3, КР - работают в BIM. Реальная выдача ворая половина апреля 2026</t>
  </si>
  <si>
    <t>Разработка научно-проектной документации на выполнение работ (реставрация и приспособление к современному использованию) для объекта культурного наследия регионального значения: 
«Дом Колмогоровых», расположенный по адресу: г. Тюмень, ул. Республики, д. 1</t>
  </si>
  <si>
    <t>Уточнение ПО</t>
  </si>
  <si>
    <t>ГОЧС</t>
  </si>
  <si>
    <t>6.19</t>
  </si>
  <si>
    <t>Разработка научно-проектной документации на выполнение работ (реставрация и приспособление к современному использованию) для объекта культурного наследия регионального значения: «Флигель из состава усадьбы купцов Лагиных», расположенный по адресу: г. Тюмень, ул. Республики, д. 3</t>
  </si>
  <si>
    <t>Разработка научно-проектной документации на выполнение работ (реставрация и приспособление к современному использованию) для объекта культурного наследия регионального значения: «Дом из состава усадьбы купцов Лагиных», расположенный по адресу: г. Тюмень, ул. Республики, д. 3, стр. 1</t>
  </si>
  <si>
    <t>2 шурфа + грунты (лаборатория) в ТЗ  на ИГИ
При условии заключения Договора на все объекты</t>
  </si>
  <si>
    <t>Разработка научно-проектной документации на выполнение работ (реставрация и приспособление к современному использованию) для выявленного объекта культурного наследия «Дом жилой», расположенный по адресу: г. Тюмень, ул. Республики, д. 5</t>
  </si>
  <si>
    <t>3 шурфа + грунты (лаборатория) в ТЗ  на ИГИ</t>
  </si>
  <si>
    <t>https://disk.yandex.ru/d/yL2faWYgf705Gw</t>
  </si>
  <si>
    <t>Ссылка на конкурс</t>
  </si>
  <si>
    <t>https://zakupki.gov.ru/epz/order/notice/ok20/view/documents.html?regNumber=0187300008125000553</t>
  </si>
  <si>
    <t>Участник закупки должен быть членом СРО в области архитектурно-строительного проектирования (как исключение - не требуется лицам, которые перечислены в ч. 2.1 ст. 47 и ч. 4.1 ст. 48ГрК РФ). Участник должен иметь право выполнять инженерные изыскания, осуществлять подготовку проектной документации в отношении объекта закупки и иметь соответствующие уровни ответственности члена СРО (по взносам в компенсационные фонды возмещения вреда и обеспечения договорных обязательств), позволяющие заключать контракт. Подтверждением членства в СРО является наличие сведений об участнике закупки в Едином реестре сведений о членах саморегулируемых организаций в области инженерных изысканий, архитектурно-строительного проектирования и их обязательствах.</t>
  </si>
  <si>
    <t>60% - цена, 40% - опыт  Наличие опыта исполнения участником закупки договора, предусматривающего выполнение работ по подготовке проектной документации и (или) выполнению инженерных изысканий в соответствии с законодательством о градостроительной деятельности. Цена выполненных работ по договору должна составлять не менее 20 процентов от начальной (максимальной) цены контракта, заключаемого по результатам определения поставщика (подрядчика, исполнителя).</t>
  </si>
  <si>
    <t>Гарантийные обязательства</t>
  </si>
  <si>
    <t>не предусмотрено</t>
  </si>
  <si>
    <t>Срок реализации объекта</t>
  </si>
  <si>
    <t>320 дней/10,7 месяцев</t>
  </si>
  <si>
    <t>АВАНСИРОВАНИЕ</t>
  </si>
  <si>
    <t>Авансирование не предусмотрено</t>
  </si>
  <si>
    <t>Комментарий ГИПА/ЕВГЕНИЙ ОЛЕГОВИЧ</t>
  </si>
  <si>
    <t xml:space="preserve">Срок 320 дней-достаточный. </t>
  </si>
  <si>
    <t>Комментарий Юриста / ИРИНА АЛЕКСАНДРОВНА</t>
  </si>
  <si>
    <t>оплата после выполнение всего объёма работ</t>
  </si>
  <si>
    <t>Расчет Пени / ИРИНА АЛЕКСАНДРОВНА</t>
  </si>
  <si>
    <t>размер пени за 1 день просрочки исходя из НМЦК - 12 045 руб.</t>
  </si>
  <si>
    <t xml:space="preserve">Многофункциональный комплекс общественно-жилого назначения с подземной 
автостоянкой (№1 по ПЗУ), расположенный по адресу: Свердловская область, 
город Екатеринбург, ул. Первомайская, 7 </t>
  </si>
  <si>
    <r>
      <t xml:space="preserve">Затраты на разработку РД
</t>
    </r>
    <r>
      <rPr>
        <i/>
        <sz val="11"/>
        <color theme="1"/>
        <rFont val="Times New Roman"/>
      </rPr>
      <t>(% от п.2)</t>
    </r>
  </si>
  <si>
    <t>Князев В.А., Селюкова М.Б</t>
  </si>
  <si>
    <t>Князев В.А</t>
  </si>
  <si>
    <t>Бочкарев И.</t>
  </si>
  <si>
    <t>Девяткова В.В.</t>
  </si>
  <si>
    <t>Выполнение инженерных изысканий, осуществление подготовки проектной и рабочей документации в целях строительства объекта капитального строительства: "Дополнительный корпус для реабилитации граждан базы спорта и отдыха «Северянка»"</t>
  </si>
  <si>
    <t>Государственная экспертиза</t>
  </si>
  <si>
    <t>Заказчик</t>
  </si>
  <si>
    <t>Эскизный проект</t>
  </si>
  <si>
    <t>Помощник ГИПа</t>
  </si>
  <si>
    <t>Выполнить расчет на прогрессирующее обрушение, звукоизоляция</t>
  </si>
  <si>
    <t>ИОС6</t>
  </si>
  <si>
    <t>водоочистные сооружения, септик, локальноочистные сооружения</t>
  </si>
  <si>
    <t>Дополнительные разделы:</t>
  </si>
  <si>
    <t>водоохранные мероприятия</t>
  </si>
  <si>
    <t>РАМ</t>
  </si>
  <si>
    <t>раздел антитеррорестические мероприятия</t>
  </si>
  <si>
    <t>5.22</t>
  </si>
  <si>
    <t>ДПБ</t>
  </si>
  <si>
    <t>Декларация пож. Безопасности</t>
  </si>
  <si>
    <t>5.23</t>
  </si>
  <si>
    <t>РПБ</t>
  </si>
  <si>
    <t>Расчет рисков</t>
  </si>
  <si>
    <t>BIM модель</t>
  </si>
  <si>
    <t>https://disk.yandex.ru/d/23k0wvU_-1Socw</t>
  </si>
  <si>
    <t>https://zakupki.gov.ru/epz/order/notice/ok20/view/documents.html?regNumber=0187200001725002248</t>
  </si>
  <si>
    <t xml:space="preserve">Участник закупки должен быть членом СРО в области архитектурно-строительного проектирования </t>
  </si>
  <si>
    <t>Наличие опыта, общая цена исполненных договоров, общее количество договоров</t>
  </si>
  <si>
    <t>Авансирование не предусмотрено . п.4.5.</t>
  </si>
  <si>
    <r>
      <t>ЗнП предусмотрено выполнение: ИИ, ЭП, ДП, ПД (в объеме РД,  прохожение ГЭ ПД, СМ), РД. Проектируемые объекты: Здание доп. Корпуса (3600 кв.м) - по ГК (</t>
    </r>
    <r>
      <rPr>
        <sz val="12"/>
        <color theme="4" tint="0.39997558519241921"/>
        <rFont val="Carlito"/>
      </rPr>
      <t>внутри ЗнП - гараж, БМК (3 котла, газ), водоочистные сооружения, септик, локально очистные сооружения - несколько зданий/сооружений???, зачем обследование если требуется демонтаж бани???</t>
    </r>
    <r>
      <rPr>
        <sz val="12"/>
        <color theme="1"/>
        <rFont val="Carlito"/>
      </rPr>
      <t xml:space="preserve">). Под проектируемые объекты выделен ЗУ (3,2 га), который находится в нескольких ОЗ (водоохранная, приаэродромная, минимальное расстояние от магистрального газопровода 350 м). В связи с этим, большая часть участка НЕПРИГОДНА ДЛЯ СТРОИТЕЛЬСТВА, необходимо оформлять территорию для проектирования вышеуказанных объектов. По требованиям в основном, как по школам (только без посредника - ЕНКО): стадийность, ОТР, согласования с Департаментами, актуализация ТУ и т.д. </t>
    </r>
    <r>
      <rPr>
        <sz val="12"/>
        <color theme="4" tint="0.39997558519241921"/>
        <rFont val="Carlito"/>
      </rPr>
      <t>!!! ИД - СМ ПИР - не понятно о чем??</t>
    </r>
    <r>
      <rPr>
        <sz val="12"/>
        <color theme="1"/>
        <rFont val="Carlito"/>
      </rPr>
      <t xml:space="preserve"> </t>
    </r>
  </si>
  <si>
    <t>Комментарий бухгалтера</t>
  </si>
  <si>
    <t xml:space="preserve">Прямые расходы на проект 18 121 316
Накладные ежемесячные расходы на проект (при наличии трех подобных контрактов) 1 370 000,00
Срок контракта 1г 4 мес. Итого накладные расходы 21 920 000,00
Кроме того, отсутствие финансирования повлечет за собой необходимость 
привлекать заемные средства, процент сейчас очень высокий, примерно 20-22% Проценты из расчета  8 млн на 6 мес.   810 082,19
Если сложить все затраты, расходы на проект всего   40 041 316
Убыток -11 086 364,06 </t>
  </si>
  <si>
    <t>Выполнение работ по разработке проектной документации по объекту: «Строительство кольцевой развязки на перекрестке улиц Чубынина и Арктическая и проездов с улицы Совхозная до улицы Чубынина в г. Салехарде, в том числе проектно-изыскательские работы»</t>
  </si>
  <si>
    <t>ОТМЕНЕН на 23.12.2025</t>
  </si>
  <si>
    <t>https://disk.yandex.ru/d/0cQR1sRbU7M0lw</t>
  </si>
  <si>
    <t>https://zakupki.gov.ru/epz/order/notice/ok20/view/common-info.html?regNumber=0190300002125000741</t>
  </si>
  <si>
    <t>Наличие опыта исполнения участником закупки договора, предусматривающего выполнение работ по подготовке проектной документации и (или) выполнению инженерных изысканий в соответствии с законодательством о градостроительной деятельности. Цена выполненных работ по договору должна составлять не менее 20 процентов от начальной (максимальной) цены контракта</t>
  </si>
  <si>
    <t>Условия контракта типовые</t>
  </si>
  <si>
    <t>Пени составит 16 214 рублей за 1 день просрочки</t>
  </si>
  <si>
    <t>Разработка научно-проектной документации для проведения работ по сохранению объекта культурного наследия регионального значения «Общественная баня», расположенного по адресу: Тюменская область, г. Тюмень, ул. Ленина, д. 3, стр.1</t>
  </si>
  <si>
    <t>Разработка ТЗ совместно с ЗК</t>
  </si>
  <si>
    <t>Предварительные работы</t>
  </si>
  <si>
    <t>Шахт</t>
  </si>
  <si>
    <t>Заключение о возможности приспособления ОКН</t>
  </si>
  <si>
    <t>до Задания Комитета - если нужен отчет: юрист, архитектор, реставратор, маркетолог</t>
  </si>
  <si>
    <t>Комплексные научные исследования</t>
  </si>
  <si>
    <t>Афанасьева-Козлова (др.фамилия?)</t>
  </si>
  <si>
    <t>ИТИ (реставрационное обледование)</t>
  </si>
  <si>
    <t>20 зондажей, Шахт О.Д.</t>
  </si>
  <si>
    <t>ИТИ (строительное инструментальное обследование)</t>
  </si>
  <si>
    <t>расчеты+обследование (отчет) (30 зондажей)</t>
  </si>
  <si>
    <t>СПБ, МСК (отчеты от лаборатории)</t>
  </si>
  <si>
    <t>14 шурфов</t>
  </si>
  <si>
    <t>Археология</t>
  </si>
  <si>
    <t>ГИП (сопровождение ПД+ПЗ)</t>
  </si>
  <si>
    <t>2 ПЗ (пдфи емл)</t>
  </si>
  <si>
    <t>Князев В.А./фриланс</t>
  </si>
  <si>
    <t>6.20</t>
  </si>
  <si>
    <t>Согласование документации</t>
  </si>
  <si>
    <t>7.1</t>
  </si>
  <si>
    <t>ГИКЭ (ПД, МОС, МОС.КС)</t>
  </si>
  <si>
    <t>стоимость предварительная</t>
  </si>
  <si>
    <t>7.2</t>
  </si>
  <si>
    <t>ГЭ ПД</t>
  </si>
  <si>
    <t>Выполнение работ по разработке проектно-сметной документации на обустройство территории детского парка Фили</t>
  </si>
  <si>
    <t xml:space="preserve">ГГЭ СМ </t>
  </si>
  <si>
    <t>таксация</t>
  </si>
  <si>
    <t>Концепция</t>
  </si>
  <si>
    <t>ПОДД*  Проект организации дорожного движения на период
эксплуатации (при необходимости)</t>
  </si>
  <si>
    <t>Итого стоимость на разработку ПД 
(с учетом резерва)</t>
  </si>
  <si>
    <t>Командировки</t>
  </si>
  <si>
    <t>Z:\01__КЛИЕНТЫ\ПРЕДВАРИТЕЛЬНЫЕ ЗАПРОСЫ\Москва\04_Детский парк Фили</t>
  </si>
  <si>
    <t>https://zakupki.gov.ru/epz/order/notice/ok20/view/documents.html?regNumber=0373200014226000019</t>
  </si>
  <si>
    <r>
      <rPr>
        <b/>
        <sz val="12"/>
        <color theme="1"/>
        <rFont val="Carlito"/>
      </rPr>
      <t xml:space="preserve">60% </t>
    </r>
    <r>
      <rPr>
        <sz val="12"/>
        <color theme="1"/>
        <rFont val="Carlito"/>
      </rPr>
      <t xml:space="preserve">- стоимость
</t>
    </r>
    <r>
      <rPr>
        <b/>
        <sz val="12"/>
        <color theme="1"/>
        <rFont val="Carlito"/>
      </rPr>
      <t>40%</t>
    </r>
    <r>
      <rPr>
        <sz val="12"/>
        <color theme="1"/>
        <rFont val="Carlito"/>
      </rPr>
      <t xml:space="preserve"> - показатель оценки «Наличие у участников закупки опыта поставки товара, выполнения работы, оказания услуги, связанного с предметом контракта» (характеристика квалификации участников закупки (общая цена исполненных участником закупки договоров)</t>
    </r>
  </si>
  <si>
    <t>Обеспечение заявки</t>
  </si>
  <si>
    <t>120 к.д.</t>
  </si>
  <si>
    <t>Авансирование не предусмотрено . п.2.9.1</t>
  </si>
  <si>
    <t>Пени составят 4 242,03 рубля за 1 день просрочки</t>
  </si>
  <si>
    <t>Выполнение работ по разработке Архитектурно-градостроительного решения и проектной документации стадии «Проектная документация» по объекту: «Здание образовательной организации максимальной вместимости (не менее 675 мест) на месте сноса существующего школьного здания по адресу: ул. Климашкина, д. 13б, стр. 1, р-н Пресненский»</t>
  </si>
  <si>
    <t>Начальная стоимость</t>
  </si>
  <si>
    <t>2.6</t>
  </si>
  <si>
    <t>Инженерно-археологические изыскания</t>
  </si>
  <si>
    <t>ГГЭ ПД, СМ</t>
  </si>
  <si>
    <t>Эскизный проект (в т.ч. дизайн-проект интерьеров)</t>
  </si>
  <si>
    <t>ЦИМ</t>
  </si>
  <si>
    <t>СТУ</t>
  </si>
  <si>
    <t>Обследование (визуальное+инструментальное)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</si>
  <si>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</si>
  <si>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</si>
  <si>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</si>
  <si>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</si>
  <si>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</si>
  <si>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</si>
  <si>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</si>
  <si>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</si>
  <si>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</si>
  <si>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</si>
  <si>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</si>
  <si>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</si>
  <si>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</si>
  <si>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</si>
  <si>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</si>
  <si>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</si>
  <si>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в т.ч расчет пожарного риска</t>
  </si>
  <si>
    <t>8.17</t>
  </si>
  <si>
    <t>8.18</t>
  </si>
  <si>
    <t>8.19</t>
  </si>
  <si>
    <t>8.20</t>
  </si>
  <si>
    <t>8.21</t>
  </si>
  <si>
    <t>МОС.КС+ГИКЭ</t>
  </si>
  <si>
    <t>8.22</t>
  </si>
  <si>
    <t>Коммандировки</t>
  </si>
  <si>
    <t>11</t>
  </si>
  <si>
    <t xml:space="preserve">Итого ОСТАТОК </t>
  </si>
  <si>
    <t>https://disk.yandex.ru/d/c_yRd0fMfmvvJw</t>
  </si>
  <si>
    <t>https://zakupki.gov.ru/epz/order/notice/notice223/documents.html?noticeInfoId=19303352</t>
  </si>
  <si>
    <t>Участник закупки должен быть членом СРО в области архитектурно-строительного проектирования 
Отсутствовать в реестре недобросовестных поставщиков</t>
  </si>
  <si>
    <r>
      <rPr>
        <b/>
        <sz val="12"/>
        <color theme="1"/>
        <rFont val="Carlito"/>
      </rPr>
      <t xml:space="preserve">50% </t>
    </r>
    <r>
      <rPr>
        <sz val="12"/>
        <color theme="1"/>
        <rFont val="Carlito"/>
      </rPr>
      <t xml:space="preserve">- стоимость
</t>
    </r>
    <r>
      <rPr>
        <b/>
        <sz val="12"/>
        <color theme="1"/>
        <rFont val="Carlito"/>
      </rPr>
      <t>40%</t>
    </r>
    <r>
      <rPr>
        <sz val="12"/>
        <color theme="1"/>
        <rFont val="Carlito"/>
      </rPr>
      <t xml:space="preserve"> - Квалификация участников закупки, в том числе с применением следующих показателей
</t>
    </r>
    <r>
      <rPr>
        <b/>
        <sz val="12"/>
        <color theme="1"/>
        <rFont val="Carlito"/>
      </rPr>
      <t>- общая цена исполненных участником закупки договоров - 0,5
- общее количество исполненных договоров без нарушения срока выполнения работ - 0,25</t>
    </r>
  </si>
  <si>
    <t>Обеспечение исполнения договора</t>
  </si>
  <si>
    <t>Сроки выполнения работ</t>
  </si>
  <si>
    <t xml:space="preserve">п. 3.7.3.При предоставлении подтверждающих использование авансового платежа документов Подрядчик обеспечен не более 30% авансом от Цены Договора. </t>
  </si>
  <si>
    <t>Короткие сроки на проектирование, много вопросов к ТЗ (обследование, СТУ т д.). У КГ отсутствует опыт работы с НТД в г. Москве.Согласование ПД с  Государственным казенным учреждением города Москвы «Дирекция инфраструктуры Департамента образования и науки города Москвы (ГКУ ДИОМ), Департамента градостроительной политики города Москвы (ДГП), ГГЭ ПД, КОИОИКН МО (МОС). Обязательное требование к оформлению графической части по ТЗ - потребуется много времени.</t>
  </si>
  <si>
    <t>7.1.32. В случае если в процессе корректировки РД выявляется необходимость корректировки ПД, ЦИМ, получившей положительное заключение государственной экспертизы Подрядчик осуществляет такую корректировку в счет цены Договора с последующим сопровождением получения Заказчиком повторного заключения государственной экспертизы.
13.2.6. За неполучение положительного заключения Мосгосэкспертизы в срок, установленный в Календарно-сетевом графике– штраф в размере 500 000 (пятьсот тысяч) рублей за каждый выявленный факт нарушения.
13.2.8. За непредставление, несвоевременное предоставление документов, предусмотренных Договором– штраф в размере 500 000 (пятьсот тысяч) рублей за каждый выявленный факт нарушения
17.3. Заказчик вправе в одностороннем внесудебном порядке отказаться от исполнения Договора полностью или в части в следующих случаях:
17.3.1. Нарушения Подрядчиком сроков выполнения Работ и (или) отдельных видов Работ, а равно этапов Работ, установленных в Календарно-сетевом графике по Договору более чем на 20 (Двадцать) рабочих дней</t>
  </si>
  <si>
    <t>Пени составят 111 344,90 рубля за 1 день просрочки</t>
  </si>
  <si>
    <t>Выполнение работ по разработке Архитектурно-градостроительного решения и проектной документации стадии «Проектная документация» по объекту: «Школьное здание на 1000 мест на месте сноса здания по адресу: пр-д Елоховский, д.1, стр. 5, стр. 6, р-н Басманный»</t>
  </si>
  <si>
    <t>12</t>
  </si>
  <si>
    <t>https://disk.yandex.ru/d/O38_u_UasiS_TA</t>
  </si>
  <si>
    <t>https://zakupki.gov.ru/epz/order/notice/notice223/documents.html?noticeInfoId=19301275</t>
  </si>
  <si>
    <t>Пени составят 125 554,70 рубля за 1 день просрочки</t>
  </si>
  <si>
    <t>Выполнение работ по разработке проектно-сметной документации по капитальному ремонту объекта "Ясли-сад "Соловушка"</t>
  </si>
  <si>
    <t>Дизайн проект</t>
  </si>
  <si>
    <t>Затраты на разработку ПД(в объеме РД)</t>
  </si>
  <si>
    <t>Фотофиксация от ЕО</t>
  </si>
  <si>
    <t>Обследование (вскрытие перекрытий: кровля, пол)</t>
  </si>
  <si>
    <t>возможно шурфы</t>
  </si>
  <si>
    <t>https://disk.yandex.ru/d/iCWd4qNvGzAjlA</t>
  </si>
  <si>
    <t>https://zakupki.gov.ru/epz/order/notice/ok20/view/documents.html?regNumber=0187300014725002337</t>
  </si>
  <si>
    <t>315 к.д.</t>
  </si>
  <si>
    <t>3.4.1. Выплата аванса не предусмотрена</t>
  </si>
  <si>
    <t>-</t>
  </si>
  <si>
    <t>Пени составят 2641,81 рубля за 1 день просрочки</t>
  </si>
  <si>
    <t>Выполнение инженерных изысканий, осуществлению разработки эскизного проекта, проектной документации по объекту: "Офисное здание, расположенное по адресу:  г. Тюмень, пр. Воронинские горки, д. 156, 
КН: 72:23:0214002:327"</t>
  </si>
  <si>
    <t>НГЭ ПД</t>
  </si>
  <si>
    <r>
      <t xml:space="preserve">Разработка проектной документации (РД+ПЗ) на блочно-модульный объект (Ангар), S=1278 м2 (18х42)
</t>
    </r>
    <r>
      <rPr>
        <b/>
        <sz val="16"/>
        <color indexed="2"/>
        <rFont val="Times New Roman"/>
      </rPr>
      <t>КН 86:11:0801001:1268-?</t>
    </r>
  </si>
  <si>
    <t>КП ГЕО-ВИКТОРИЯ</t>
  </si>
  <si>
    <t>Иванов (ЭП+ПД(РД)</t>
  </si>
  <si>
    <t>КР(АС), кб=10 т</t>
  </si>
  <si>
    <t>Макарчук 300 000</t>
  </si>
  <si>
    <t>Раевская после уточнения вопросов по ИД</t>
  </si>
  <si>
    <t>ИОС2 (ВУ, ГВС,ХВС)</t>
  </si>
  <si>
    <t>Белан 205000</t>
  </si>
  <si>
    <t>ИОС3 (ВК)</t>
  </si>
  <si>
    <t>ИОС4 (ОВ, ИТП)</t>
  </si>
  <si>
    <t>АПВ</t>
  </si>
  <si>
    <t>кто будет делать?</t>
  </si>
  <si>
    <t>ИОС5 (ОС, СОУЭ, СКУД, ЛВС)</t>
  </si>
  <si>
    <t xml:space="preserve">Коробко - 70 000 </t>
  </si>
  <si>
    <t>АПС</t>
  </si>
  <si>
    <t>Белокуров - 105 500</t>
  </si>
  <si>
    <t>Гавриловская</t>
  </si>
  <si>
    <t>Итого ОСТАТОК (за вычетом расходов ПД в объеме РД)</t>
  </si>
  <si>
    <t>Z:\01__КЛИЕНТЫ\ПРЕДВАРИТЕЛЬНЫЕ ЗАПРОСЫ\Нижневартовск</t>
  </si>
  <si>
    <t>6 месяцев</t>
  </si>
  <si>
    <t>Комментарий ГИПА к ТЗ</t>
  </si>
  <si>
    <r>
      <t xml:space="preserve">1. Отсутствуют ИД для проектирования (ГПЗУ, ЕГРН, ТУ, паспорт на тренажер, ПОС, штатное расписание, письмо о МГН, требования к СМ)
2. вид разрешенного использования: под административно-служебный комплекс. </t>
    </r>
    <r>
      <rPr>
        <b/>
        <sz val="12"/>
        <color theme="1"/>
        <rFont val="Carlito"/>
      </rPr>
      <t>По ТЗ учебный корпус!3</t>
    </r>
    <r>
      <rPr>
        <sz val="12"/>
        <color theme="1"/>
        <rFont val="Carlito"/>
      </rPr>
      <t>. сроки выполнения работ по ТЗ до 31.07.2026 г.
4. сроки согласования не учтены в 6 месяцев
5. ТХ - ведущая марка, не учтена в ТЗ. Вопрос: кто будет отрабатывать этот вопрос?? ЗК?
6. П.24 ТЗ предусмотрена разработка ППР - зона ответственности строителей.
7</t>
    </r>
    <r>
      <rPr>
        <b/>
        <sz val="12"/>
        <color theme="1"/>
        <rFont val="Carlito"/>
      </rPr>
      <t xml:space="preserve">. В стоимость включена только разработка РД+ПЗ
</t>
    </r>
    <r>
      <rPr>
        <sz val="12"/>
        <color theme="1"/>
        <rFont val="Carlito"/>
      </rPr>
      <t xml:space="preserve">8. П. 30 ТЗ. Требования к выдаче документации: чертежи в формате (.dwg), NANOCAD
</t>
    </r>
  </si>
  <si>
    <t>Многоэтажные жилые дома с объектами инфраструктуры в границах улиц: Харьковская, Пермякова, 50 лет Октября, в г. Тюмень. Жилой дом ГП-8 с многоэтажной стоянкой автомобилей</t>
  </si>
  <si>
    <t>Селюкова М.Б.</t>
  </si>
  <si>
    <t>Актуализация концепции</t>
  </si>
  <si>
    <t>Техническая корректировка проекта МР 664 "Реконструкция реагентного хозяйства ВПУ в здании ОБВС (ангар для механизированной разгрузки и подачи химреагентов)" г. Тюмень (ЗУ-0,25 га, Sобщ=936 м2)</t>
  </si>
  <si>
    <t>ОТС (сущ. КН - 7 000 м2)</t>
  </si>
  <si>
    <r>
      <t xml:space="preserve">Затраты на разработку (ПД+РД)
</t>
    </r>
    <r>
      <rPr>
        <i/>
        <sz val="11"/>
        <color theme="1"/>
        <rFont val="Times New Roman"/>
      </rPr>
      <t>(% от п.3)</t>
    </r>
  </si>
  <si>
    <t>КР (АС, КЖ, КМ), кб=5 т</t>
  </si>
  <si>
    <t>ИОС1(ЭМ, ЭО)</t>
  </si>
  <si>
    <t>ИОС5 (ПС)</t>
  </si>
  <si>
    <t>ПОС+ПОД</t>
  </si>
  <si>
    <t>Z:\01__КЛИЕНТЫ\ПРЕДВАРИТЕЛЬНЫЕ ЗАПРОСЫ\Тюмень\Фортум</t>
  </si>
  <si>
    <t>90 к.д. (180 к.д)</t>
  </si>
  <si>
    <t xml:space="preserve">
</t>
  </si>
  <si>
    <t>Разработка дизайн-проектов (брендирование) и сметной документации для проведения текущего ремонта зданий ГКУ "Центр занятости Курганской области" (S=4 442,50 м2) - 21 объект</t>
  </si>
  <si>
    <t>НГЭ СМ</t>
  </si>
  <si>
    <t>ДП (Брендинг)</t>
  </si>
  <si>
    <t>можем выполнить своими силами, есть релевантный опыт</t>
  </si>
  <si>
    <t>не знаем территорию, не знаем покрытие, а требования есть, посчитать затраты для смет по Якартам?</t>
  </si>
  <si>
    <t>ОТС</t>
  </si>
  <si>
    <t>в т.ч 200000 командировки Деф.В будет в отчете</t>
  </si>
  <si>
    <r>
      <t xml:space="preserve">Затраты на разработку (ПД)
</t>
    </r>
    <r>
      <rPr>
        <i/>
        <sz val="11"/>
        <color theme="1"/>
        <rFont val="Times New Roman"/>
      </rPr>
      <t>(% от п.3)</t>
    </r>
  </si>
  <si>
    <t>АР (АР)</t>
  </si>
  <si>
    <t>планы для ДП готовит КР</t>
  </si>
  <si>
    <t>ИОС1(ЭОМ)</t>
  </si>
  <si>
    <t>ИОС2 (ВВ)</t>
  </si>
  <si>
    <t>ИОС5 (СКС, СОУЭ, ОПС, АПС, СОТ)</t>
  </si>
  <si>
    <t>в ДП</t>
  </si>
  <si>
    <t>Расходы на привлечение средств (негативный сценарий  )</t>
  </si>
  <si>
    <t>Единый налог</t>
  </si>
  <si>
    <t>Прибыль от пректа</t>
  </si>
  <si>
    <t>\\Server_Craft\Рабочая\01__КЛИЕНТЫ\ПРЕДВАРИТЕЛЬНЫЕ ЗАПРОСЫ\Курган\02_Центр занятости Курганской области</t>
  </si>
  <si>
    <t>Комментарий исп.директора</t>
  </si>
  <si>
    <t>Все специалисты, кроме АР, ГИП, РП и администратор, предположительно с запасом по стоимости. Увеличение расходов при привленчении финансирования авансов -проценты за кредит: позитивный сценарий 3 мес  250 000руб., негативный сценарий 6 мес. 500 000 руб.</t>
  </si>
  <si>
    <t>Привлечение финансирование для выплаты авансов  4 150 000</t>
  </si>
  <si>
    <r>
      <t xml:space="preserve">Обеспечить разработку документации в соответствии с:
-  Приказом Минтруда России от 16.03.2023 N 156 (ред. от 12.07.2024) "Об утверждении Стандарта организации деятельности органов службы занятости населения в субъектах Российской Федерации" приложение № 2 «Руководство по фирменному стилю бренда Работа России» БРЭНДБУК
</t>
    </r>
    <r>
      <rPr>
        <b/>
        <sz val="12"/>
        <color theme="1"/>
        <rFont val="Carlito"/>
      </rPr>
      <t xml:space="preserve">21 объект!!! в разных населенных пунктах: г. Курган, г. Шадринск, г. Катайк, г. Шумиха...
</t>
    </r>
    <r>
      <rPr>
        <sz val="12"/>
        <color indexed="2"/>
        <rFont val="Carlito"/>
      </rPr>
      <t>Если дизайнер может разработать спецификации и создать ВОР для СМ - то всех специалистов, кроме КР (выезд, планировки, фотофиксация, деф.ведомости) можно исключить</t>
    </r>
  </si>
  <si>
    <t>Строительство новой котельной взамен действующего источника теплоснабжения «Котельная №6- ПМК-177, расположенного по адресу: г. Когалым, ул. Рижская, строение 50 (30 МВт)</t>
  </si>
  <si>
    <t>ГЭ ПСД</t>
  </si>
  <si>
    <t>0,6 га</t>
  </si>
  <si>
    <t>вспомогательные сооружения (КНС, КТП, резервуары топлива, пож. резервуары, ДТ)</t>
  </si>
  <si>
    <t>ИОС1(ЭОМ, ЭС, УКУ)</t>
  </si>
  <si>
    <t>ИОС2 (ВВ, УКУ)</t>
  </si>
  <si>
    <t>ИОС3 (НВК, ВК)</t>
  </si>
  <si>
    <t>ИОС4 (ОВ, ТС, УКУ)</t>
  </si>
  <si>
    <t>ИОС5 (АК, СС)</t>
  </si>
  <si>
    <t>ИОС6 (УКУ)</t>
  </si>
  <si>
    <t>ДТ расчет высоты</t>
  </si>
  <si>
    <t>ТР (ТМ, ТХ)</t>
  </si>
  <si>
    <t>на территории размещена котельная, работы по демонтажу не учтены</t>
  </si>
  <si>
    <t>ДКБ</t>
  </si>
  <si>
    <t>\\Server_Craft\Рабочая\01__КЛИЕНТЫ\ПРЕДВАРИТЕЛЬНЫЕ ЗАПРОСЫ\ХМАО\Когалым\02_Котельная N6 - ПМК-177</t>
  </si>
  <si>
    <t>ПД - 08.2026
ГЭ ПСД, РД - 10.2026</t>
  </si>
  <si>
    <t xml:space="preserve">Осуществление научного руководства и авторского надзора за ремонтно-реставрационными работами на объекте культурного наследия регионального значения «Место кратковременного пребывания Д.И. Менделеева в 1899г.», расположенного по адресу Тюменская область, г. Тюмень, ул. Пристанская, д. 13 </t>
  </si>
  <si>
    <t>Итоговая стоимость:</t>
  </si>
  <si>
    <t xml:space="preserve">Научный руководитель </t>
  </si>
  <si>
    <t xml:space="preserve">Комментарий ГИПА </t>
  </si>
  <si>
    <t xml:space="preserve">Ведение ЖАН осуществляется ГИПом, научным руководителем, помощником ГИПа.
В стоимость АН включена стоимость: ведение НР, разработка НРО (после завершения ремонтно-реставрационных работ).
</t>
  </si>
  <si>
    <t xml:space="preserve">Проведение строительного контроля (технического надзора) за выполнением ремонтно-реставрационных работ на объекте культурного наследия регионального значения «Место кратковременного пребывания Д.И. Менделеева в 1899г.», расположенного по адресу Тюменская область, г. Тюмень, ул. Пристанская, д. 13 </t>
  </si>
  <si>
    <t>Специалист ТН</t>
  </si>
  <si>
    <t>Каргаполова В.С.</t>
  </si>
  <si>
    <t>Разработка проектно-сметной документации по благоустройству сквера на пересечении Таганрогской ул. и Ставропольской ул.</t>
  </si>
  <si>
    <t>В холодное время года стоимость изысканий выше+могут быть выполнены некорректно (должны выполняться в теплое время года)</t>
  </si>
  <si>
    <t>Сахаутдинов</t>
  </si>
  <si>
    <t>Итого стоимость на разработку ПД+РД 
(с учетом резерва)</t>
  </si>
  <si>
    <t>Z:\01__КЛИЕНТЫ\ПРЕДВАРИТЕЛЬНЫЕ ЗАПРОСЫ\Москва\05_Благоустройство сквера на пересечении Таганрогской ул. и Ставропольской ул</t>
  </si>
  <si>
    <t>https://zakupki.gov.ru/epz/order/notice/ok20/view/documents.html?regNumber=0373200041126000024</t>
  </si>
  <si>
    <t>90 к.д.</t>
  </si>
  <si>
    <r>
      <t xml:space="preserve">Общие границы проектирования – площадь 2,9 га. Срок выполнения работ c 1-го по 90-й календарный день c даты заключения контракта. Выполнение работы и согласования в соответствии с ПП №1013 от 15.12.2017 г. </t>
    </r>
    <r>
      <rPr>
        <b/>
        <sz val="12"/>
        <color theme="1"/>
        <rFont val="Carlito"/>
      </rPr>
      <t>При параллельном выполнении работ, наличии ИД и специалистов - сроки на ПИР реальные.</t>
    </r>
  </si>
  <si>
    <t>Пени составят 8 533,33 рубля за 1 день просрочки</t>
  </si>
  <si>
    <t>Разработка научно-проектной документации для проведения работ по сохранению выявленного объекта культурного наследия «Церковь Богоявления», расположенного по адресу: Ярковский муниципальный округ, с. Гилево, ул. Тобольная, 22 (Sз-381,6 м2; V-4115 м3. Общий процент утрат объекта
культурного наследия: здание памятника - 50%, территории - 0%, малых архитектурных форм
- 100%)</t>
  </si>
  <si>
    <t>2</t>
  </si>
  <si>
    <t>Шахт - 50%</t>
  </si>
  <si>
    <t>2.2.</t>
  </si>
  <si>
    <t>СПО УРАЛ</t>
  </si>
  <si>
    <t>ПАМ</t>
  </si>
  <si>
    <t>КР+АР, СО+ВОР (Князев, Кугаевских)</t>
  </si>
  <si>
    <r>
      <t xml:space="preserve">Затраты на разработку НПД
</t>
    </r>
    <r>
      <rPr>
        <i/>
        <sz val="11"/>
        <color theme="1"/>
        <rFont val="Times New Roman"/>
      </rPr>
      <t>(% от п.3)</t>
    </r>
  </si>
  <si>
    <t>хмл</t>
  </si>
  <si>
    <t>Доп. затраты (проверка с/с работы фрилансера, выпуск документации, коммандировки)</t>
  </si>
  <si>
    <t>КОИОИКН</t>
  </si>
  <si>
    <t>УКЭП всем участникам!!!</t>
  </si>
  <si>
    <t>Сдача выполненных работ</t>
  </si>
  <si>
    <t>НРО</t>
  </si>
  <si>
    <t>Всего расходы на разработку НПД</t>
  </si>
  <si>
    <t>из расчета, что шахт берет 50%</t>
  </si>
  <si>
    <t>Разработку проекта зон охраны Объекта культурного наследия регионального значения «Дом Волкова А.А.», расположенного по адресу: Свердловская область, г. Екатеринбург, ул. Куйбышева, д. 99</t>
  </si>
  <si>
    <t>НИ ФФ</t>
  </si>
  <si>
    <t>ПЗО</t>
  </si>
  <si>
    <t>Шахт - 50 %</t>
  </si>
  <si>
    <t>Комплекс «Школа-детский сад» в пгт. Андра, Октябрьский район (225 учащихся, 115 воспитанников)</t>
  </si>
  <si>
    <t>Археология+ГИКЭ (при необходимости)</t>
  </si>
  <si>
    <t>выполняются летом (июнь-август)</t>
  </si>
  <si>
    <t>РХР (при необходимости)</t>
  </si>
  <si>
    <t>ТМ</t>
  </si>
  <si>
    <t>Резерв (командировки)</t>
  </si>
  <si>
    <t>1. Объекты: Комплекс «Школа-детский сад», котельная+ДТ, КПП, КТП, стоянка ТС.
Проектная мощность (вместимость) объекта 225 учащихся, 115 воспитанников:
Общая площадь здания – ориентировочно 10366,23 кв. м (уточнить проектом).
Количество этажей 3 (уточнить проектом).
Площадь земельных участков с кадастровыми номерами 86:07:0103007:3329, 86:07:0103007:3668 – 40001,0 кв. м.
Срок сдачи полного комплекта документации до 16.05.2027</t>
  </si>
  <si>
    <t>Пени составят 28 762,90 рубля за 1 день просрочки</t>
  </si>
  <si>
    <t>Разработка  научно-проектной и рабочей документации на проведение работ по сохранению выявленного объекта культурного наследия «Здание паровозного депо» из состава Ансамбля "Комплекс зданий и сооружений железнодорожного паровозного депо",  расположенного по адресу: г. Тюмень, ул.Привокзальная, 3
(без ГЭ)</t>
  </si>
  <si>
    <t>Шахт - 35%</t>
  </si>
  <si>
    <t>Выполняет СИ</t>
  </si>
  <si>
    <t>Афанасьева-Козлова</t>
  </si>
  <si>
    <t>расчеты+обследование (отчет)</t>
  </si>
  <si>
    <t>лаборатория</t>
  </si>
  <si>
    <t>ГИКЭ (ПД, МОС)</t>
  </si>
  <si>
    <t>Разработка научно-проектной и рабочей документации на проведение работ по сохранению выявленного объекта культурного наследия «Разводной круг» из состава Ансамбля "Комплекс зданий и сооружений железнодорожного паровозного депо", расположенного по адресу: г. Тюмень, ул.Привокзальная, 3
(без ГЭ)</t>
  </si>
  <si>
    <t>ПЗУ(ГП+ОДИ)</t>
  </si>
  <si>
    <t>ИОС1(ЭС)</t>
  </si>
  <si>
    <t>Рашевский</t>
  </si>
  <si>
    <t>Разработка  научно-проектной и рабочей документации на проведение работ по сохранению выявленного объекта культурного наследия «Ремонтные мастерские» из состава Ансамбля "Комплекс зданий и сооружений железнодорожного паровозного депо",  расположенного по адресу: г. Тюмень, ул.Привокзальная, 3
(без ГЭ)</t>
  </si>
  <si>
    <t xml:space="preserve">ПО </t>
  </si>
  <si>
    <t>Разработка  научно-проектной и рабочей документации на проведение работ по сохранению выявленного объекта культурного наследия «Водонапорная башня» из состава Ансамбля "Комплекс зданий и сооружений железнодорожного паровозного депо",  расположенного по адресу: г. Тюмень, ул.Привокзальная, 22/2
(без ГЭ)</t>
  </si>
  <si>
    <t>ОБЩАЯ Ансамбль "Комплекс зданий и сооружений железнодорожного паровозного депо",  расположенного по адресу: г. Тюмень, ул.Привокзальная, 3(без ГЭ)</t>
  </si>
  <si>
    <t>1 раздел на 3 объекта</t>
  </si>
  <si>
    <t>Конно-спортивный комплекс в Тюменской области, Кулаковское МО (10 га)</t>
  </si>
  <si>
    <t>45 скв. (5 на объект)</t>
  </si>
  <si>
    <t>1 раздел на 9 объектов</t>
  </si>
  <si>
    <t>под котельную</t>
  </si>
  <si>
    <t>4.19</t>
  </si>
  <si>
    <t>Доп. затраты на проверку с/с работы фрилансера, выпуск документации, командировки</t>
  </si>
  <si>
    <t>4.20</t>
  </si>
  <si>
    <r>
      <t xml:space="preserve">В стоимость не включено: оформление ЗУ, археология, ОВОС.
</t>
    </r>
    <r>
      <rPr>
        <b/>
        <sz val="12"/>
        <color theme="1"/>
        <rFont val="Carlito"/>
      </rPr>
      <t xml:space="preserve">Стоимость принята по проекту аналогу на ЗУ под 9 объектов
</t>
    </r>
    <r>
      <rPr>
        <sz val="12"/>
        <color theme="1"/>
        <rFont val="Carlito"/>
      </rPr>
      <t>(Блок 1 АБК 3310кв.м
Блок 2 Манеж для соревнований общ площ -4210кв.м.
Блок 4 Переход между конюшнями 2шт, общая площадь 735+ 1480кв.м.
Блок 5 (2шт) - Конюшня на 31 денник по 667,5 кв.м. итого 1335кв.м.
Блок 6 Круглый крытый манеж 1шт 250кв.м.
Поз.10. Складские помещения для сена, кормов подстилки -2шт - 700кв.м.)</t>
    </r>
    <r>
      <rPr>
        <sz val="12"/>
        <color theme="1"/>
        <rFont val="Carlito"/>
      </rPr>
      <t xml:space="preserve">
Котельная - отсутствует на плане от ЗК (нет информации о кол-ве потребителей и топливе) 
Срок предварительный: 550 кал.дней</t>
    </r>
  </si>
  <si>
    <t>З</t>
  </si>
  <si>
    <t>Разработка научно-проектной документации для проведения работ по сохранению объекта культурного наследия регионального значения «Дом торговый А. Бендера, реконстр. 1912 г. - арх. В.К. Карпов», расположенного по адресу: Саратовская область, г. Саратов, ул. Первомайская, д. 78
Общая площадь здания (БТИ)-3752,9 м2</t>
  </si>
  <si>
    <t>1</t>
  </si>
  <si>
    <t>1.1</t>
  </si>
  <si>
    <t>Шахт О.Д</t>
  </si>
  <si>
    <t>1.2</t>
  </si>
  <si>
    <t>1.3</t>
  </si>
  <si>
    <t>Саратов</t>
  </si>
  <si>
    <t>Кугаевских М.С</t>
  </si>
  <si>
    <t>Скульптор</t>
  </si>
  <si>
    <t xml:space="preserve">ИТИ </t>
  </si>
  <si>
    <t>2.7</t>
  </si>
  <si>
    <t>2.8</t>
  </si>
  <si>
    <t>2.9</t>
  </si>
  <si>
    <t>2.10</t>
  </si>
  <si>
    <t>Гавриловская Л.В.</t>
  </si>
  <si>
    <t>ГИКЭ (НПД, МОС, МОС.КС)</t>
  </si>
  <si>
    <t>ГЭ ПД, СМ</t>
  </si>
  <si>
    <t>https://disk.360.yandex.ru/d/kldUo5jpK-7x8w</t>
  </si>
  <si>
    <t>https://zakupki.kontur.ru/0360300225126000003?utm_source=zakupki&amp;utm_medium=excel&amp;utm_campaign=zakupki_export&amp;utm_content=e9f51aa1-e3e5-4f97-8ee7-a8d39d80cbf9</t>
  </si>
  <si>
    <t>лицензия Минкульт, опыт исполнения аналогичных договоров, акт выполненных работ
Участник закупки должен быть членом саморегулируемой организации в области инженерных изысканий, в области архитектурно-строительного проектирования</t>
  </si>
  <si>
    <t>критерии оценки</t>
  </si>
  <si>
    <t>цена контракта 40%, 
Квалификация участников закупки, в том числе наличие у них финансовых ресурсов, на праве собственности или ином законном основании оборудования и других материальных ресурсов, опыта работы, связанного с предметом контракта, и деловой репутации, специалистов и иных работников определенного уровня квалификации - 60%</t>
  </si>
  <si>
    <t>Обеспечение гарантийных</t>
  </si>
  <si>
    <r>
      <rPr>
        <b/>
        <sz val="12"/>
        <color theme="1"/>
        <rFont val="Carlito"/>
      </rPr>
      <t xml:space="preserve">Сроки выполнения работ: </t>
    </r>
    <r>
      <rPr>
        <sz val="12"/>
        <color theme="1"/>
        <rFont val="Carlito"/>
      </rPr>
      <t xml:space="preserve">
- Дата начала выполнения Работ - с даты заключения Контракта 
- Дата окончания выполнения Работ: не позднее 07.12.2027 г.
ТЗ от ЗК идентично заданию комитета. В настоящий момент ОКН эксплуатируется, конструктивные решения в работоспособном состоянии (со слов ЗК). ЗК ничего менять в здании не планирует, намерен восстановить памятник для дальнейшего использования. Все ИД предоставляет по запросу Проектировщика.
В случае необходимости Проектировщику разработать и утвердить в установленном порядке Специальные технические условия противопожарной защиты здания (СТУ). </t>
    </r>
    <r>
      <rPr>
        <b/>
        <sz val="12"/>
        <color theme="1"/>
        <rFont val="Carlito"/>
      </rPr>
      <t xml:space="preserve">По отдельному договору. </t>
    </r>
    <r>
      <rPr>
        <sz val="12"/>
        <color theme="1"/>
        <rFont val="Carlito"/>
      </rPr>
      <t xml:space="preserve">
</t>
    </r>
    <r>
      <rPr>
        <b/>
        <sz val="12"/>
        <color theme="1"/>
        <rFont val="Carlito"/>
      </rPr>
      <t>При влиянии на конструктивные и другие характеристики надежности и безопасности объекта культурного наследия</t>
    </r>
    <r>
      <rPr>
        <sz val="12"/>
        <color theme="1"/>
        <rFont val="Carlito"/>
      </rPr>
      <t xml:space="preserve"> получить положительное заключение экспертизы проектной документа-ции и (или) результатов инженерных изысканий включая определение достоверности смет-ной стоимости.
</t>
    </r>
    <r>
      <rPr>
        <b/>
        <sz val="12"/>
        <color theme="1"/>
        <rFont val="Carlito"/>
      </rPr>
      <t>При отсутствие влияния на конструктивные и другие характеристики надежности и безопасности объекта культурного наследия</t>
    </r>
    <r>
      <rPr>
        <sz val="12"/>
        <color theme="1"/>
        <rFont val="Carlito"/>
      </rPr>
      <t xml:space="preserve"> и если список необходимых работ сответствует ПП РФ от 16.05.2022г № 881 получить положительное заключение проектной документации в части определения достоверности сметной стоимости.</t>
    </r>
  </si>
  <si>
    <t>Типовые условия контракта</t>
  </si>
  <si>
    <t>Пени составят 12822,19  рублей за 1 день просрочки</t>
  </si>
  <si>
    <t>Разработка дизайн-проектов (брендирование) и сметной документации для проведения текущего ремонта зданий ГКУ "Центр занятости Курганской области" (S=396,5 м2) - 2 объекта</t>
  </si>
  <si>
    <t>ОТС (визуальное), ВОР благоустройство</t>
  </si>
  <si>
    <t>коммандировки+проживание (при необходимости)</t>
  </si>
  <si>
    <t>Предусмотреть расширение дверных проемов (в случае технической возможности), замену дверных блоков.</t>
  </si>
  <si>
    <t>планы для ДП</t>
  </si>
  <si>
    <t>раздел</t>
  </si>
  <si>
    <t>ВОР к СМ</t>
  </si>
  <si>
    <t xml:space="preserve">ИОС3 </t>
  </si>
  <si>
    <t>https://disk.yandex.ru/d/UyhnaRhlfURnlA</t>
  </si>
  <si>
    <t>https://zakupki.gov.ru/epz/order/notice/ea20/view/common-info.html?regNumber=0843500000226001009</t>
  </si>
  <si>
    <t>Обеспечить разработку документации в соответствии с:
-  Приказом Минтруда России от 16.03.2023 N 156 (ред. от 12.07.2024) "Об утверждении Стандарта организации деятельности органов службы занятости населения в субъектах Российской Федерации" приложение № 2 «Руководство по фирменному стилю бренда Работа России» БРЭНДБУК
Состав проекта: ДП, ПЗ, АР, КР, ИОС1, ИОС5, СМ.
Срок оказания услуг: со дня заключения контракта по 30 апреля 2026 года, в соответствии с графиком выполнения работ (Приложение № 2 к контракту).
Авансирование по контракту не предусмотрено.</t>
  </si>
  <si>
    <t>Многоэтажный жилой дом с жилыми секциями переменной этажности, со встроенными нежилыми помещениями общественного назначения и подземной автостоянкой, расположенный на Сибирском тракте в г. Екатеринбурге - ГП-4</t>
  </si>
  <si>
    <t xml:space="preserve">   </t>
  </si>
  <si>
    <t>АС.ГП</t>
  </si>
  <si>
    <t>Князев В.А., Селюкова</t>
  </si>
  <si>
    <t>Взрыв-схемы</t>
  </si>
  <si>
    <r>
      <t>требуется специалист</t>
    </r>
    <r>
      <rPr>
        <sz val="12"/>
        <rFont val="Carlito"/>
      </rPr>
      <t xml:space="preserve"> (? Князев В.А, Аксентьева Л.)</t>
    </r>
  </si>
  <si>
    <t xml:space="preserve">  </t>
  </si>
  <si>
    <r>
      <t xml:space="preserve">1. 16 МАФ индивидуального изготовления (стоимость принята по аналогам).
2. Срок 35 рабочих дней, при уловии предоставления 3Д-модели.
</t>
    </r>
    <r>
      <rPr>
        <sz val="14"/>
        <color indexed="2"/>
        <rFont val="Liberation Sans"/>
      </rPr>
      <t xml:space="preserve">Обратить внимание: </t>
    </r>
    <r>
      <rPr>
        <sz val="14"/>
        <color theme="1"/>
        <rFont val="Liberation Sans"/>
      </rPr>
      <t xml:space="preserve">
п.3 ТЗ: 3.В случае, если МАФ индивидуального изготовления относиться к категории детское игровое и оборудование, МАФ целиком или его элементы входят в перечень оборудования, закрепленного в ТР ЕАЭС 042/2017, необходима соответствующая сертификация. Вся необходимая информация для сертификации должна быть указана в примечании. </t>
    </r>
  </si>
  <si>
    <t>Выполнение работ по разработке ПСД по объекту: Объект спорта 7600 м2, ГК "Малыш" (фитнес с бассейном 4600 м2, падел-центр) (ПД, РД, Концепция) Заказчик Сибинтел, территория 1,0 га</t>
  </si>
  <si>
    <t>Концепция (доработка)</t>
  </si>
  <si>
    <t>выгрузка в ГЭ, ПЗ в exml, ВОРы для АР,КР и иных специалистов (кто не выполняет данный вид работ)</t>
  </si>
  <si>
    <t>выполнение работ по проектированию объекта «Благоустройство бульвара на набережной в створе улицы Чапаева и Речного порта города Нижневартовска» 
(3-4 этапы) (2,6 га) ЗУ:86:00:0000000:45531, 86:00:0000000:45532, 86:11:0000000:81402</t>
  </si>
  <si>
    <t>Дизайн  проект</t>
  </si>
  <si>
    <t>ПЗУ (ПЗ+ГП)</t>
  </si>
  <si>
    <t>КР (ПЗ+АС+АР)</t>
  </si>
  <si>
    <t>ИОС1 (ПЗ+ЭН)</t>
  </si>
  <si>
    <t>ИОС2, ИОС3 (ПЗ+НВК)</t>
  </si>
  <si>
    <t>ИОС5 (ПЗ+СВН, СОУЭ)</t>
  </si>
  <si>
    <t>Всего расходы на разработку РД</t>
  </si>
  <si>
    <t>https://disk.yandex.ru/d/zi32IT_qneofpw</t>
  </si>
  <si>
    <t>https://zakupki.gov.ru/epz/order/notice/zk20/view/documents.html?regNumber=0387300016826000014#</t>
  </si>
  <si>
    <t>Участник закупки должен быть членом саморегулируемой организации в области архитектурно-строительного проектирования объектов капитального строительства
Наличие опыта исполнения участником закупки договора, предусматривающего выполнение работ по подготовке проектной документации и (или) выполнению инженерных изысканий в соответствии с законодательством о градостроительной деятельности. Цена выполненных работ по договору должна составлять не менее 20 процентов от начальной (максимальной) цены контракта, заключаемого по результатам определения поставщика (подрядчика, исполнителя). Информация и документы, подтверждающие соответствие участников закупки дополнительным требованиям: 1) исполненный договор; 2) акт выполненных работ, подтверждающий цену выполненных работ; 3) положительное заключение экспертизы проектной документации и (или) результатов инженерных изысканий (за исключением случаев, при которых такое заключение не выдается в соответствии с законодательством о градостроительной деятельности)</t>
  </si>
  <si>
    <t>Срок исполнения контрактв</t>
  </si>
  <si>
    <t>п.1.8: Сбор иных требуемых исходных данных, необходимых для проектирования, подрядчик осуществляет самостоятельно, без увеличения стоимости работ и срока проектирования по заключенному контракту, а заказчик, при необходимости, вправе оказать подрядчику содействие в выполнении данной обязанности
п.2.1 Площадь территории в границах топографической съемки составляет ориентировочно 
8,0 га. ??? п.1.5 - 2,6 га??? 
п.2.4 КТР согласовать перед началом проектирования
п. 3.3 выполнить подсчет деревьев и кустарников ценных пород и при необходимости, по согласованию с управлением природопользования и экологии администрации города, предусмотреть пересадку деревьев
п.3.6 АН
п.3.9 Согласования</t>
  </si>
  <si>
    <t>Обследование с разработкой проектно-сметной документации на капитальный ремонт учебного корпуса № 3 ФГБОУ ВО «УГГУ» по адресу։ г. Екатеринбург, 620144, ул. Хохрякова, 81, литера Б (66:41:0401034:4, 9655 м2) год постройки 1967, S7848,5м2, 6 этажей</t>
  </si>
  <si>
    <t>BIM-проектирование 
в объеме LOD 300</t>
  </si>
  <si>
    <t>нужен специалист</t>
  </si>
  <si>
    <t>Отчет об обследовании</t>
  </si>
  <si>
    <r>
      <t xml:space="preserve">Затраты на разработку (в объеме ПД+СО, ВОР для СМ)
</t>
    </r>
    <r>
      <rPr>
        <i/>
        <sz val="11"/>
        <color theme="1"/>
        <rFont val="Times New Roman"/>
      </rPr>
      <t>(% от п.3)</t>
    </r>
  </si>
  <si>
    <t>Селюкова, Кугаевских</t>
  </si>
  <si>
    <t xml:space="preserve">КР </t>
  </si>
  <si>
    <t>Белан дымоудаление - ?</t>
  </si>
  <si>
    <t>Коробко, Леонтьев</t>
  </si>
  <si>
    <t>ТР (лифты и оборудование)</t>
  </si>
  <si>
    <t>Комплексная безопасность</t>
  </si>
  <si>
    <r>
      <rPr>
        <sz val="12"/>
        <color indexed="2"/>
        <rFont val="Carlito"/>
      </rPr>
      <t xml:space="preserve">нужен специалист </t>
    </r>
    <r>
      <rPr>
        <sz val="12"/>
        <color theme="1"/>
        <rFont val="Carlito"/>
      </rPr>
      <t xml:space="preserve">
указать перечень Исполнительной документации п.15</t>
    </r>
  </si>
  <si>
    <t>Белокуров, РПР-???, СТУ -???</t>
  </si>
  <si>
    <t>ПТ</t>
  </si>
  <si>
    <t>МОСОКН</t>
  </si>
  <si>
    <t>ОД Шахт (стоимость указана без СМ)</t>
  </si>
  <si>
    <t>ГИКЭ МОСОКН, ГГЭ СМ</t>
  </si>
  <si>
    <t xml:space="preserve">Всего расходы на разработку </t>
  </si>
  <si>
    <t>22.04.2026 г.</t>
  </si>
  <si>
    <t>https://disk.yandex.ru/d/qhPm9IFOBjcvLg</t>
  </si>
  <si>
    <t>https://zakupki.gov.ru/epz/order/notice/ok20/view/documents.html?regNumber=0362100027926000009#</t>
  </si>
  <si>
    <t>28.02.2027 г.</t>
  </si>
  <si>
    <r>
      <t xml:space="preserve">Договор
3.1.4. Получить вводный инструктаж по охране труда в службе охраны труда ФГБОУ ВО «УГГУ» и ознакомиться с правилами внутреннего трудового распорядка ФГБОУ ВО «УГГУ» под подпись
3. 9 ПРОВЕРКА ЗК перед ГЭ не более 20 календарных дней
</t>
    </r>
    <r>
      <rPr>
        <sz val="11"/>
        <color indexed="2"/>
        <rFont val="Liberation Sans"/>
      </rPr>
      <t>3.15.1 ЗК передает ТЗ на обследование  и иные данные  - 2 рд</t>
    </r>
    <r>
      <rPr>
        <sz val="11"/>
        <color theme="1"/>
        <rFont val="Liberation Sans"/>
      </rPr>
      <t xml:space="preserve">
4. 1 и 2 этапы (ТО и ПД+ГГЭ СМ)
ЗнП:
п.6 противоречит Договору
п.7 противоречит договору
п.8.1 - этапы, стадии???
п.15 - 19.Проектирование выполняется в BIM-проектирование в объеме LOD 300.
п.23 - доступ</t>
    </r>
  </si>
  <si>
    <t xml:space="preserve">Обследование с разработкой проектно-сметной документации на капитальный ремонт объектов ФГБОУ ВО «УГГУ»«Уральский государственный горный университет» (кадастровые номера объектов недвижимого имущества 66։41։0206032։611, 66։41։0000000։68341, 66:41:0206032:597, 66։41։0000000։68342, 66։41։0401045։185, 66։41։0401045։24, 66։41։0401045։25, 66։41։0206032։594, 66։41։0401045։18, 66։41։0603004։60) площадь ЗУ - 11000м2. (10 зданий), 1917 год постройки, этажность 1-3 </t>
  </si>
  <si>
    <t>ИОС1+УУ</t>
  </si>
  <si>
    <t>ИОС2, ИОС3+УУ</t>
  </si>
  <si>
    <t>ИОС4+УУ</t>
  </si>
  <si>
    <t xml:space="preserve">Белан </t>
  </si>
  <si>
    <r>
      <rPr>
        <sz val="12"/>
        <color indexed="2"/>
        <rFont val="Carlito"/>
      </rPr>
      <t xml:space="preserve">нужен специалист </t>
    </r>
    <r>
      <rPr>
        <sz val="12"/>
        <color theme="1"/>
        <rFont val="Carlito"/>
      </rPr>
      <t xml:space="preserve">
</t>
    </r>
  </si>
  <si>
    <t xml:space="preserve"> ГГЭ СМ</t>
  </si>
  <si>
    <t>20.04.2026 г.</t>
  </si>
  <si>
    <t>23.11.2026 г.</t>
  </si>
  <si>
    <r>
      <rPr>
        <sz val="9"/>
        <color indexed="2"/>
        <rFont val="Liberation Sans"/>
      </rPr>
      <t>Если ТО покажет замену несущих конструкций - идти в проектную экспертизу, капрем превращается в реконструкцию</t>
    </r>
    <r>
      <rPr>
        <sz val="9"/>
        <color theme="1"/>
        <rFont val="Liberation Sans"/>
      </rPr>
      <t xml:space="preserve">
Договор:
3.1.3-3.1.4 - допуск
3.4 - заделка 
3.15 - передача ИД - 2 рд
4. 2 этапа
ЗнП
п.6 противоречит Договору
п.22 - допуск</t>
    </r>
  </si>
  <si>
    <t>Выполнение работ по проектированию капитального ремонта объекта капитального строительства (обмерные работы, работы по обследованию и разработка ПСД) Общежитие № 2, 2а, расположенное по адресу: г. Тюмень, ул. Нагорная д. 6</t>
  </si>
  <si>
    <t>https://disk.yandex.ru/d/paQ07PY5xlAtiA</t>
  </si>
  <si>
    <t>Ссылка на аукцион</t>
  </si>
  <si>
    <t>https://zakupki.gov.ru/epz/order/notice/ea20/view/common-info.html?regNumber=0367100001026000017</t>
  </si>
  <si>
    <t>сро. Наличие опыта исполнения участником закупки договора, предусматривающего выполнение работ по подготовке проектной документации и (или) выполнению инженерных изысканий в соответствии с законодательством о градостроительной деятельности. Цена выполненных работ по договору должна составлять не менее 20 процентов от начальной (максимальной) цены контракта, заключаемого по результатам определения поставщика (подрядчика, исполнителя). Информация и документы, подтверждающие соответствие участников закупки дополнительным требованиям: 1) исполненный договор; 2) акт выполненных работ, подтверждающий цену выполненных работ; 3) положительное заключение экспертизы проектной документации и (или) результатов инженерных изысканий (за исключением случаев, при которых такое заключение не выдается в соответствии с законодательством о градостроительной деятельности)</t>
  </si>
  <si>
    <t>30%%</t>
  </si>
  <si>
    <t>Оказание услуг по разработке дизайн-проекта помещений и проектно-сметной документации по ремонту объекта ГКУ «Алапаевский ЦЗ» в соответствии с требованиями Руководства по фирменному стилю бренда «Работа России»</t>
  </si>
  <si>
    <t>https://zakupki.gov.ru/epz/order/notice/ea20/view/common-info.html?regNumber=0162200011826001256</t>
  </si>
  <si>
    <t>Оказание услуг по разработке дизайн-проекта помещений и документации по ремонту объекта ГКУ «Ирбитский ЦЗ» в соответствии с требованиями Руководства по фирменному стилю бренда «Работа России»</t>
  </si>
  <si>
    <t>https://zakupki.gov.ru/epz/order/notice/ea20/view/common-info.html?regNumber=0162200011826001258</t>
  </si>
  <si>
    <t>Выполнение работ по проектированию объекта «Благоустройство спортивной и парковой зон города Кубинка», г. Кубинка, Одинцовский г.о., Московская обл.7га</t>
  </si>
  <si>
    <t>ПРОЦЕНТ СНИЖЕНИЯ</t>
  </si>
  <si>
    <t>СТОИМОСТЬ БЕЗ НДС</t>
  </si>
  <si>
    <t>Стоимость с НДС</t>
  </si>
  <si>
    <t>Маржиналшьный доход (выручка-переменные)</t>
  </si>
  <si>
    <t>Стоимость за 1ГА без НДС</t>
  </si>
  <si>
    <t>НДС</t>
  </si>
  <si>
    <t>ЦЕНА ЗАЯВКИ, в т.ч. НДС 5%</t>
  </si>
  <si>
    <t>ЦЕНА БЕЗ НДС</t>
  </si>
  <si>
    <t xml:space="preserve">Гидрометеорологические </t>
  </si>
  <si>
    <t>Дендрологические (Инвентаризационный план (масштаб 1:500);
Перечетная ведомость зеленых насаждений в отношении объекта благоустройства)</t>
  </si>
  <si>
    <t>не сталкивались</t>
  </si>
  <si>
    <t>Сравнение цены:</t>
  </si>
  <si>
    <t xml:space="preserve">Затюменский 1млн/га; Цветной бульвар по расценкам (без моста) 1,7 млн/га; Сквер СВО (много уникальных МАФ) 1,4 млг/га. </t>
  </si>
  <si>
    <t>Изыскательская деятельность для проекта освоения леса.</t>
  </si>
  <si>
    <r>
      <t xml:space="preserve">Затраты на разработку (ПД в объеме РД)+оформление отдельно ПД и РД
</t>
    </r>
    <r>
      <rPr>
        <i/>
        <sz val="11"/>
        <color theme="1"/>
        <rFont val="Times New Roman"/>
      </rPr>
      <t>(% от п.3)</t>
    </r>
  </si>
  <si>
    <t>Архитектор (эскизы, консультации)</t>
  </si>
  <si>
    <t>КР (ПЗ+АС)</t>
  </si>
  <si>
    <t>Доп. затраты на проверку с/с работы фрилансера, выпуск документации,оформление документации</t>
  </si>
  <si>
    <t>Командировки на объект</t>
  </si>
  <si>
    <t>если будут требовать исполнения,то можем не уложиться (ГИП еженедельно на объекте)</t>
  </si>
  <si>
    <t>ГЭ</t>
  </si>
  <si>
    <t>ОКОНЧАНИЕ ПОДАЧИ ЗАЯВОК 1 этап</t>
  </si>
  <si>
    <t>https://disk.360.yandex.ru/d/ZTnbZdFLx9QVsQ</t>
  </si>
  <si>
    <t>опыт,цена,срок</t>
  </si>
  <si>
    <t>нет</t>
  </si>
  <si>
    <t>5 мес</t>
  </si>
  <si>
    <t>Пункт 4.5: Банковская гарантия на аванс с правом Заказчика списать ее по первому требованию. Для получения аванса нужно предоставить банковскую гарантию на сумму аванса + 180 дней, с правом Заказчика списать деньги по одному письменному требованию.</t>
  </si>
  <si>
    <t>Юрист в отпуске. 2.1 – 2.3: «Приблизительная» цена, которая не подлежит увеличению. Что такое приблизительная цена? Пункт 1.1 + 5.1.4: Согласование с «иными уполномоченными органами» без их перечня</t>
  </si>
  <si>
    <t>Пункт 6.1 (неустойка): 0,5% от ЦЕНЫ ДОГОВОРА за каждый день просрочки. 80325 в день!!!!! ШТРАФ за отрицательное заключение 10% - 1 606 500</t>
  </si>
  <si>
    <t>Выполнение проектно-изыскательских работ по капитальному ремонту объекта "Здание ЗАГС", расположенного по адресу: Ханты-Мансийский округ-Югра, г.Нефтеюганск, мкр. 1-й, корп. 21А</t>
  </si>
  <si>
    <t>НДС 5%</t>
  </si>
  <si>
    <t>Стоимость договора без НДС</t>
  </si>
  <si>
    <t>визуальное+инструментальное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</si>
  <si>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</si>
  <si>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</si>
  <si>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</si>
  <si>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</si>
  <si>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</si>
  <si>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</si>
  <si>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</si>
  <si>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</si>
  <si>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</si>
  <si>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</si>
  <si>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</si>
  <si>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</si>
  <si>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</si>
  <si>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ГЭ СМ</t>
  </si>
  <si>
    <t>ИТОГО прямые расходы на проект</t>
  </si>
  <si>
    <t xml:space="preserve">Единый налог </t>
  </si>
  <si>
    <t>Всего расходы</t>
  </si>
  <si>
    <t>Итого ОСТАТОК (доходы минус расходы)</t>
  </si>
  <si>
    <t>https://zakupki.gov.ru/epz/order/notice/ok20/view/documents.html?regNumber=0187300012826000198</t>
  </si>
  <si>
    <t>Наличие СРО</t>
  </si>
  <si>
    <t>Цена контракта - 60%
наличие опыта - 40%</t>
  </si>
  <si>
    <t>Срок исполнения контракта</t>
  </si>
  <si>
    <t>240 к.д.</t>
  </si>
  <si>
    <t>Авансовые платежи по Контракту не предусмотрены</t>
  </si>
  <si>
    <t>можно участвовать</t>
  </si>
  <si>
    <t>условия контракта типовые. по всем срокам минус 10 дней (за 10 дней до окончания срока этапа направить уже должны ззаказчику) пункт 7.1</t>
  </si>
  <si>
    <t xml:space="preserve">пени 2 000 рублей в день (за просрочку выполнения работ). </t>
  </si>
  <si>
    <t>Комментарий гл. буха</t>
  </si>
  <si>
    <t>Проект достаточно длительный, рентабельность без учета косвенных затрат(содержание офоса) всего 21%. Аванса нет, нужно искать средства для авансирования фрилансеров. Эффективности по итогам работы нет.</t>
  </si>
  <si>
    <t>Выполнение проектно-изыскательских работ объекта: «Научный центр в д. Шапша
(ИНТЦ «ЮНИТИ ПАРК»)»</t>
  </si>
  <si>
    <t>1.4</t>
  </si>
  <si>
    <t>1.5</t>
  </si>
  <si>
    <t>Дизайн проект по оформлению помещений комплекса</t>
  </si>
  <si>
    <t>п 2.6. ЗНП</t>
  </si>
  <si>
    <t>Архитектурная детализированная концепция</t>
  </si>
  <si>
    <t>предварительная версия ПД (решения по ПЗУ, АР, КР, ИОС, ПБ, ОДИ)</t>
  </si>
  <si>
    <t>АР (АС)</t>
  </si>
  <si>
    <t>КР (КЖ и КР, КРД, КМ, КМД)</t>
  </si>
  <si>
    <t>ИОС1 (ЭС, ЭН, ЭМ, ЭО)</t>
  </si>
  <si>
    <t>ИОС2 (ВК, НВК)</t>
  </si>
  <si>
    <t>ИОС3 (ВК, НВК</t>
  </si>
  <si>
    <t>ИОС5 (СКУД, СВН, АПС, СОУЭ, АПЗ, АУПТ, ГАПТ, ППТ, СОТС, СС, ЛВС, СКС, АК, АСТУЭ, АСКУЭ)</t>
  </si>
  <si>
    <t>ПБ, ДКБ</t>
  </si>
  <si>
    <t>ГОЧС (при необходимости)</t>
  </si>
  <si>
    <t>сделать запрос в МЧС</t>
  </si>
  <si>
    <t>в бумажном виде 4 экз. - ПД
6 экз. - РД</t>
  </si>
  <si>
    <t>https://disk.yandex.ru/d/PzVajxepes8UzA</t>
  </si>
  <si>
    <t>https://zakupki.gov.ru/epz/order/notice/ok20/view/documents.html?regNumber=0187200001726000650</t>
  </si>
  <si>
    <t>Наличие СРО на проектирование</t>
  </si>
  <si>
    <t>Критерии оценки</t>
  </si>
  <si>
    <t>Обеспечение гарантии</t>
  </si>
  <si>
    <t>197 к.д.</t>
  </si>
  <si>
    <t>Авансовые платежи по настоящему Контракту не предусмотрены.</t>
  </si>
  <si>
    <t>В составе комплекса предусмотреть размещение следующих объектов:
1. Научно – образовательный корпус (на 35 рабочих мест и 60 образовательных мест);
- лабораторные (исследовательские) пространства на базе научно-образовательного корпуса. Лабораторные пространства включают в свой состав:
- лабораторный комплекс климатических проектов и беспилотного мониторинга «Эко-АэроЛаб» с численным составом не менее 25 штатных единиц.
- лабораторный комплекс прикладной микологии с численным составом не менее 10 штатных единиц.
2. Лабораторный модуль
3. Сити-ферма
4. Экспериментральные климатические установки
5. Общежитие
6. Помещения с постоянным пребыванием людей.
Расходы на проведение государственной экспертизы проектной документации и результатов инженерных изысканий, включая проверку достоверности определения сметной стоимости (как первичной, так и повторной, если необходимость повторного прохождения возникла по вине Подрядчика), не включены в цену Контракта и производятся исключительно за счет Подрядчика.
Подрядчик обязан возместить Заказчику расходы на проведение государственной экспертизы в течение 5 (пяти) рабочих дней с даты получения счета Заказчика либо самостоятельно оплатить экспертизу напрямую по согласованию с Заказчиком.</t>
  </si>
  <si>
    <t>Пени составят 25 591,09 рубля за 1 день просрочки</t>
  </si>
  <si>
    <t>Выполнение инженерных изысканий и разработка проектной документации для объекта "Мемориальный комплекс в г. Когалыме, расположенный на земельных участках KH 86:17:0011601:1063; КН 86:17:0000000:3365" (1,6 га)</t>
  </si>
  <si>
    <t>Изыскания</t>
  </si>
  <si>
    <r>
      <t xml:space="preserve">Затраты на разработку РД
</t>
    </r>
    <r>
      <rPr>
        <i/>
        <sz val="11"/>
        <color theme="1"/>
        <rFont val="Times New Roman"/>
      </rPr>
      <t>(% от п.3)</t>
    </r>
  </si>
  <si>
    <t>НВК</t>
  </si>
  <si>
    <t>стела, барильефы</t>
  </si>
  <si>
    <t>Архитектор-визуализатор</t>
  </si>
  <si>
    <t>Художник скульптор (худ.оформление)</t>
  </si>
  <si>
    <t>рисунки на барельефах (4шт)</t>
  </si>
  <si>
    <t>Итого ОСТАТОК (за вычетом расходов на РД)</t>
  </si>
  <si>
    <t xml:space="preserve">Разработка эскизного проекта территорий, расположенных по адресу: Тюменская обл., ХМАО-Югра, г. Когалым, часть земельных участков с КН 86:17:0010114:179 (площадью 1,5га), КН 86:17:0011601:1063; 86:17:0000000:3365 (площадью 4га) </t>
  </si>
  <si>
    <t>Цена контракта (в т.ч. НДС)</t>
  </si>
  <si>
    <t>Всего согласно договора с НДС</t>
  </si>
  <si>
    <t>Саврина</t>
  </si>
  <si>
    <t>Цедрик</t>
  </si>
  <si>
    <t>Ведущий архитектор</t>
  </si>
  <si>
    <t>Кудряшова</t>
  </si>
  <si>
    <t>Аксентьева</t>
  </si>
  <si>
    <t>Лебедева</t>
  </si>
  <si>
    <t>не поднадобилось</t>
  </si>
  <si>
    <t>Возврат 10% Заказчику (10% Заказчик заложил сверху к 1,5млн по нашему КП)</t>
  </si>
  <si>
    <t>будет по запросу ООО Дорстройсервис</t>
  </si>
  <si>
    <t>Разработка эскизного проекта по объекту: «База санатория «Нукутская Мацеста» Иркутская обл.</t>
  </si>
  <si>
    <t>увеличена доля с 60% до 80% от цены контаракта</t>
  </si>
  <si>
    <t>Цедрик (Суменков не нужн - только документооборот)</t>
  </si>
  <si>
    <t>Смердов</t>
  </si>
  <si>
    <t>Непредвиденные расходы</t>
  </si>
  <si>
    <t>может быть командировка</t>
  </si>
  <si>
    <t>может понадобится привлечение технолога для консультации</t>
  </si>
  <si>
    <t>проект на перспективу. Прибыли нет,себестоимость - Саврина М.П.</t>
  </si>
  <si>
    <t>Проектные (изыскательские) работы. Капитальный ремонт спальных корпусов № 1, № 3, летнего театра и благоустройства территории МАУ ДОЛ "Солнечная поляна" с переводом на круглогодичный режим эксплуатации</t>
  </si>
  <si>
    <t>АР, КР (АС)</t>
  </si>
  <si>
    <t>ИОС 2,3 (ВК)</t>
  </si>
  <si>
    <t>ИОС 4 (ОВ)</t>
  </si>
  <si>
    <t>ИОС 5 (АК, СС, РТ, ПС, СКУД, СКС, СОТ)</t>
  </si>
  <si>
    <t>ИОС 1 (ЭОМ)</t>
  </si>
  <si>
    <t>Капитальный ремонт спальных корпусов №2,№4, здания клуба-столовой, прачечной, фундамента котельной и инженерных сетей территории МАУ ДОЛ "Солнечная поляна" с переводом на круглогодичный режим эксплуатации</t>
  </si>
  <si>
    <t>ИОС 1 (ЭОМ, ЭН, ЭС)</t>
  </si>
  <si>
    <t>ИОС 5 (АК, РТ, ПС, СС, СКУД, СКС, СОТ, НСС)</t>
  </si>
  <si>
    <t>ИОС 2,3 (НВК, ВК)</t>
  </si>
  <si>
    <t>ИОС 4 (ОВ, ТС)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</si>
</sst>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₽&quot;;[Red]\-#,##0.00\ &quot;₽&quot;"/>
    <numFmt numFmtId="164" formatCode="#,##0.00\ [$₽-19]"/>
    <numFmt numFmtId="165" formatCode="#,##0.00&quot; &quot;[$₽-19]"/>
    <numFmt numFmtId="166" formatCode="0.0%"/>
    <numFmt numFmtId="167" formatCode="#,##0&quot; &quot;[$₽-19]"/>
    <numFmt numFmtId="168" formatCode="#,##0.00\ &quot;₽&quot;"/>
    <numFmt numFmtId="169" formatCode="#,##0.00\ _₽"/>
    <numFmt numFmtId="170" formatCode="#,##0.00\ [$₽-444]"/>
    <numFmt numFmtId="171" formatCode="#,##0\ \₽;[Red]\-#,##0\ \₽"/>
    <numFmt numFmtId="172" formatCode="#,##0.00\ \₽;[Red]\-#,##0.00\ \₽"/>
  </numFmts>
  <fonts count="75" x14ac:knownFonts="1">
    <font>
      <sz val="10"/>
      <color theme="1"/>
      <name val="Liberation Sans"/>
    </font>
    <font>
      <u/>
      <sz val="10"/>
      <color theme="10"/>
      <name val="Liberation Sans"/>
    </font>
    <font>
      <sz val="12"/>
      <color theme="1"/>
      <name val="Carlito"/>
    </font>
    <font>
      <sz val="12"/>
      <name val="Carlito"/>
    </font>
    <font>
      <b/>
      <sz val="12"/>
      <name val="Carlito"/>
    </font>
    <font>
      <b/>
      <sz val="16"/>
      <name val="Carlito"/>
    </font>
    <font>
      <b/>
      <i/>
      <sz val="12"/>
      <name val="Carlito"/>
    </font>
    <font>
      <b/>
      <sz val="12"/>
      <color theme="1"/>
      <name val="Carlito"/>
    </font>
    <font>
      <b/>
      <sz val="12"/>
      <color indexed="2"/>
      <name val="Carlito"/>
    </font>
    <font>
      <b/>
      <i/>
      <sz val="16"/>
      <name val="Carlito"/>
    </font>
    <font>
      <sz val="12"/>
      <color indexed="2"/>
      <name val="Carlito"/>
    </font>
    <font>
      <i/>
      <sz val="12"/>
      <name val="Carlito"/>
    </font>
    <font>
      <sz val="14"/>
      <color indexed="2"/>
      <name val="Liberation Sans"/>
    </font>
    <font>
      <sz val="14"/>
      <color theme="1"/>
      <name val="Liberation Sans"/>
    </font>
    <font>
      <b/>
      <sz val="16"/>
      <name val="Times New Roman"/>
    </font>
    <font>
      <sz val="14"/>
      <color theme="1"/>
      <name val="Times New Roman"/>
    </font>
    <font>
      <b/>
      <sz val="14"/>
      <name val="Times New Roman"/>
    </font>
    <font>
      <sz val="14"/>
      <name val="Times New Roman"/>
    </font>
    <font>
      <sz val="14"/>
      <color indexed="2"/>
      <name val="Times New Roman"/>
    </font>
    <font>
      <i/>
      <sz val="14"/>
      <name val="Times New Roman"/>
    </font>
    <font>
      <i/>
      <sz val="14"/>
      <color theme="1"/>
      <name val="Liberation Sans"/>
    </font>
    <font>
      <b/>
      <i/>
      <sz val="14"/>
      <name val="Times New Roman"/>
    </font>
    <font>
      <b/>
      <sz val="14"/>
      <color theme="1"/>
      <name val="Liberation Sans"/>
    </font>
    <font>
      <b/>
      <sz val="14"/>
      <name val="Liberation Sans"/>
    </font>
    <font>
      <i/>
      <sz val="14"/>
      <color theme="1"/>
      <name val="Times New Roman"/>
    </font>
    <font>
      <b/>
      <i/>
      <sz val="16"/>
      <color theme="1"/>
      <name val="Times New Roman"/>
    </font>
    <font>
      <b/>
      <sz val="12"/>
      <name val="Times New Roman"/>
    </font>
    <font>
      <b/>
      <sz val="12"/>
      <color indexed="2"/>
      <name val="Times New Roman"/>
    </font>
    <font>
      <sz val="12"/>
      <name val="Times New Roman"/>
    </font>
    <font>
      <i/>
      <sz val="12"/>
      <name val="Times New Roman"/>
    </font>
    <font>
      <b/>
      <sz val="16"/>
      <color theme="0"/>
      <name val="Times New Roman"/>
    </font>
    <font>
      <sz val="11"/>
      <color theme="1"/>
      <name val="Times New Roman"/>
    </font>
    <font>
      <b/>
      <sz val="11"/>
      <name val="Times New Roman"/>
    </font>
    <font>
      <sz val="11"/>
      <name val="Times New Roman"/>
    </font>
    <font>
      <b/>
      <sz val="11"/>
      <color theme="1"/>
      <name val="Times New Roman"/>
    </font>
    <font>
      <b/>
      <sz val="14"/>
      <color theme="1"/>
      <name val="Times New Roman"/>
    </font>
    <font>
      <b/>
      <sz val="14"/>
      <color indexed="2"/>
      <name val="Liberation Sans"/>
    </font>
    <font>
      <b/>
      <sz val="14"/>
      <color indexed="2"/>
      <name val="Times New Roman"/>
    </font>
    <font>
      <b/>
      <sz val="16"/>
      <color theme="1"/>
      <name val="Times New Roman"/>
    </font>
    <font>
      <i/>
      <sz val="10"/>
      <color theme="1"/>
      <name val="Liberation Sans"/>
    </font>
    <font>
      <sz val="12"/>
      <color theme="1"/>
      <name val="Liberation Sans"/>
    </font>
    <font>
      <sz val="11"/>
      <color indexed="2"/>
      <name val="Times New Roman"/>
    </font>
    <font>
      <b/>
      <i/>
      <sz val="11"/>
      <name val="Carlito"/>
    </font>
    <font>
      <sz val="11"/>
      <color theme="1"/>
      <name val="Liberation Sans"/>
    </font>
    <font>
      <i/>
      <sz val="11"/>
      <color theme="1"/>
      <name val="Liberation Sans"/>
    </font>
    <font>
      <sz val="11"/>
      <name val="Carlito"/>
    </font>
    <font>
      <sz val="11"/>
      <color theme="1"/>
      <name val="Carlito"/>
    </font>
    <font>
      <b/>
      <i/>
      <sz val="12"/>
      <name val="Times New Roman"/>
    </font>
    <font>
      <b/>
      <sz val="12"/>
      <color theme="1"/>
      <name val="Liberation Sans"/>
    </font>
    <font>
      <b/>
      <sz val="11"/>
      <color theme="1"/>
      <name val="Liberation Sans"/>
    </font>
    <font>
      <b/>
      <sz val="11"/>
      <name val="Liberation Sans"/>
    </font>
    <font>
      <sz val="12"/>
      <color theme="1"/>
      <name val="Times New Roman"/>
    </font>
    <font>
      <b/>
      <sz val="18"/>
      <color theme="1"/>
      <name val="Liberation Sans"/>
    </font>
    <font>
      <b/>
      <sz val="14"/>
      <color indexed="2"/>
      <name val="Carlito"/>
    </font>
    <font>
      <sz val="16"/>
      <name val="Times New Roman"/>
    </font>
    <font>
      <sz val="12"/>
      <color theme="2" tint="-0.499984740745262"/>
      <name val="Carlito"/>
    </font>
    <font>
      <sz val="11"/>
      <color theme="2" tint="-0.499984740745262"/>
      <name val="Times New Roman"/>
    </font>
    <font>
      <sz val="14"/>
      <color theme="2" tint="-0.499984740745262"/>
      <name val="Liberation Sans"/>
    </font>
    <font>
      <sz val="12"/>
      <color theme="2" tint="-0.249977111117893"/>
      <name val="Carlito"/>
    </font>
    <font>
      <sz val="11"/>
      <color theme="2" tint="-0.249977111117893"/>
      <name val="Times New Roman"/>
    </font>
    <font>
      <sz val="9"/>
      <color theme="1"/>
      <name val="Liberation Sans"/>
    </font>
    <font>
      <b/>
      <sz val="12"/>
      <color theme="1"/>
      <name val="Times New Roman"/>
    </font>
    <font>
      <sz val="11"/>
      <color theme="1" tint="0.499984740745262"/>
      <name val="Times New Roman"/>
    </font>
    <font>
      <b/>
      <sz val="11"/>
      <color indexed="2"/>
      <name val="Times New Roman"/>
    </font>
    <font>
      <sz val="10"/>
      <color theme="1"/>
      <name val="Liberation Sans"/>
    </font>
    <font>
      <i/>
      <sz val="11"/>
      <color theme="1"/>
      <name val="Times New Roman"/>
    </font>
    <font>
      <b/>
      <u/>
      <sz val="16"/>
      <name val="Times New Roman"/>
    </font>
    <font>
      <sz val="12"/>
      <color theme="4" tint="0.39997558519241921"/>
      <name val="Carlito"/>
    </font>
    <font>
      <b/>
      <sz val="16"/>
      <color indexed="2"/>
      <name val="Times New Roman"/>
    </font>
    <font>
      <sz val="11"/>
      <color indexed="2"/>
      <name val="Liberation Sans"/>
    </font>
    <font>
      <sz val="9"/>
      <color indexed="2"/>
      <name val="Liberation Sans"/>
    </font>
    <font>
      <b/>
      <sz val="9"/>
      <name val="Tahoma"/>
    </font>
    <font>
      <sz val="9"/>
      <name val="Tahoma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7">
    <fill>
      <patternFill patternType="none"/>
    </fill>
    <fill>
      <patternFill patternType="gray125"/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D9EAD3"/>
        <bgColor rgb="FFD9EAD3"/>
      </patternFill>
    </fill>
    <fill>
      <patternFill patternType="solid">
        <fgColor indexed="6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0070C0"/>
        <bgColor rgb="FF0070C0"/>
      </patternFill>
    </fill>
    <fill>
      <patternFill patternType="solid">
        <fgColor rgb="FFD0E0E3"/>
        <bgColor rgb="FFD0E0E3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0070C0"/>
        <bgColor rgb="FFD9EAD3"/>
      </patternFill>
    </fill>
    <fill>
      <patternFill patternType="solid">
        <fgColor theme="0"/>
        <bgColor theme="9" tint="0.59999389629810485"/>
      </patternFill>
    </fill>
    <fill>
      <patternFill patternType="solid">
        <fgColor indexed="7"/>
        <bgColor indexed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indexed="7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3" tint="0.39997558519241921"/>
        <bgColor theme="3" tint="0.39997558519241921"/>
      </patternFill>
    </fill>
    <fill>
      <patternFill patternType="solid">
        <fgColor theme="3" tint="0.39997558519241921"/>
        <bgColor theme="0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2" tint="-9.9978637043366805E-2"/>
        <bgColor theme="0"/>
      </patternFill>
    </fill>
    <fill>
      <patternFill patternType="solid">
        <fgColor indexed="24"/>
        <bgColor indexed="24"/>
      </patternFill>
    </fill>
    <fill>
      <patternFill patternType="solid">
        <fgColor indexed="31"/>
        <bgColor indexed="31"/>
      </patternFill>
    </fill>
    <fill>
      <patternFill patternType="solid">
        <fgColor indexed="31"/>
        <bgColor theme="0"/>
      </patternFill>
    </fill>
    <fill>
      <patternFill patternType="solid">
        <fgColor indexed="24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theme="8" tint="0.59999389629810485"/>
        <bgColor indexed="2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9" tint="0.39997558519241921"/>
        <bgColor theme="7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theme="0"/>
      </patternFill>
    </fill>
  </fills>
  <borders count="10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rgb="FFCCCCCC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CCCCCC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theme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theme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CCCCCC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rgb="FFCCCCCC"/>
      </left>
      <right style="thin">
        <color theme="1"/>
      </right>
      <top style="thin">
        <color rgb="FFCCCCCC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theme="1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theme="1"/>
      </right>
      <top style="thin">
        <color rgb="FFCCCCCC"/>
      </top>
      <bottom style="thin">
        <color rgb="FFCCCCCC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9" fontId="64" fillId="0" borderId="0" applyFont="0" applyFill="0" applyBorder="0" applyProtection="0"/>
  </cellStyleXfs>
  <cellXfs count="1132">
    <xf numFmtId="0" fontId="0" fillId="0" borderId="0" xfId="0"/>
    <xf numFmtId="16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0" fontId="4" fillId="2" borderId="2" xfId="0" applyNumberFormat="1" applyFont="1" applyFill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left" vertical="center" wrapText="1"/>
    </xf>
    <xf numFmtId="166" fontId="2" fillId="4" borderId="7" xfId="0" applyNumberFormat="1" applyFont="1" applyFill="1" applyBorder="1" applyAlignment="1">
      <alignment horizontal="left" vertical="center" wrapText="1"/>
    </xf>
    <xf numFmtId="1" fontId="2" fillId="4" borderId="7" xfId="0" applyNumberFormat="1" applyFont="1" applyFill="1" applyBorder="1" applyAlignment="1">
      <alignment horizontal="center" vertical="center" wrapText="1"/>
    </xf>
    <xf numFmtId="165" fontId="3" fillId="4" borderId="7" xfId="0" applyNumberFormat="1" applyFont="1" applyFill="1" applyBorder="1" applyAlignment="1">
      <alignment horizontal="left" vertical="center" wrapText="1"/>
    </xf>
    <xf numFmtId="164" fontId="3" fillId="4" borderId="7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left" vertical="center" wrapText="1"/>
    </xf>
    <xf numFmtId="9" fontId="2" fillId="4" borderId="7" xfId="0" applyNumberFormat="1" applyFont="1" applyFill="1" applyBorder="1" applyAlignment="1">
      <alignment horizontal="center" vertical="center" wrapText="1"/>
    </xf>
    <xf numFmtId="165" fontId="3" fillId="4" borderId="8" xfId="0" applyNumberFormat="1" applyFont="1" applyFill="1" applyBorder="1" applyAlignment="1">
      <alignment horizontal="left" vertical="center" wrapText="1"/>
    </xf>
    <xf numFmtId="9" fontId="2" fillId="4" borderId="8" xfId="0" applyNumberFormat="1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  <xf numFmtId="165" fontId="3" fillId="4" borderId="9" xfId="0" applyNumberFormat="1" applyFont="1" applyFill="1" applyBorder="1" applyAlignment="1">
      <alignment horizontal="left" vertical="center" wrapText="1"/>
    </xf>
    <xf numFmtId="9" fontId="2" fillId="4" borderId="9" xfId="0" applyNumberFormat="1" applyFont="1" applyFill="1" applyBorder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left" vertical="center" wrapText="1"/>
    </xf>
    <xf numFmtId="165" fontId="4" fillId="0" borderId="9" xfId="0" applyNumberFormat="1" applyFont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horizontal="left" vertical="center" wrapText="1"/>
    </xf>
    <xf numFmtId="164" fontId="7" fillId="4" borderId="9" xfId="0" applyNumberFormat="1" applyFont="1" applyFill="1" applyBorder="1" applyAlignment="1">
      <alignment horizontal="center"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left" vertical="center" wrapText="1"/>
    </xf>
    <xf numFmtId="1" fontId="2" fillId="4" borderId="10" xfId="0" applyNumberFormat="1" applyFont="1" applyFill="1" applyBorder="1" applyAlignment="1">
      <alignment horizontal="left" vertical="center" wrapText="1"/>
    </xf>
    <xf numFmtId="165" fontId="6" fillId="4" borderId="9" xfId="0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left" vertical="center" wrapText="1"/>
    </xf>
    <xf numFmtId="164" fontId="7" fillId="5" borderId="11" xfId="0" applyNumberFormat="1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2" fontId="2" fillId="6" borderId="12" xfId="0" applyNumberFormat="1" applyFont="1" applyFill="1" applyBorder="1" applyAlignment="1">
      <alignment horizontal="center" vertical="center" wrapText="1"/>
    </xf>
    <xf numFmtId="2" fontId="2" fillId="6" borderId="13" xfId="0" applyNumberFormat="1" applyFont="1" applyFill="1" applyBorder="1" applyAlignment="1">
      <alignment horizontal="center" vertical="center" wrapText="1"/>
    </xf>
    <xf numFmtId="2" fontId="2" fillId="6" borderId="14" xfId="0" applyNumberFormat="1" applyFont="1" applyFill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left" vertical="center" wrapText="1"/>
    </xf>
    <xf numFmtId="10" fontId="2" fillId="4" borderId="16" xfId="0" applyNumberFormat="1" applyFont="1" applyFill="1" applyBorder="1" applyAlignment="1">
      <alignment horizontal="left" vertical="center" wrapText="1"/>
    </xf>
    <xf numFmtId="1" fontId="3" fillId="4" borderId="7" xfId="0" applyNumberFormat="1" applyFont="1" applyFill="1" applyBorder="1" applyAlignment="1">
      <alignment horizontal="center" vertical="center" wrapText="1"/>
    </xf>
    <xf numFmtId="9" fontId="3" fillId="4" borderId="7" xfId="0" applyNumberFormat="1" applyFont="1" applyFill="1" applyBorder="1" applyAlignment="1">
      <alignment horizontal="center" vertical="center" wrapText="1"/>
    </xf>
    <xf numFmtId="165" fontId="3" fillId="4" borderId="7" xfId="0" applyNumberFormat="1" applyFont="1" applyFill="1" applyBorder="1" applyAlignment="1">
      <alignment horizontal="center" vertical="center" wrapText="1"/>
    </xf>
    <xf numFmtId="165" fontId="2" fillId="4" borderId="7" xfId="0" applyNumberFormat="1" applyFont="1" applyFill="1" applyBorder="1" applyAlignment="1">
      <alignment horizontal="left" vertical="center" wrapText="1"/>
    </xf>
    <xf numFmtId="165" fontId="2" fillId="4" borderId="8" xfId="0" applyNumberFormat="1" applyFont="1" applyFill="1" applyBorder="1" applyAlignment="1">
      <alignment horizontal="left" vertical="center" wrapText="1"/>
    </xf>
    <xf numFmtId="165" fontId="2" fillId="4" borderId="3" xfId="0" applyNumberFormat="1" applyFont="1" applyFill="1" applyBorder="1" applyAlignment="1">
      <alignment horizontal="left" vertical="center" wrapText="1"/>
    </xf>
    <xf numFmtId="165" fontId="2" fillId="4" borderId="16" xfId="0" applyNumberFormat="1" applyFont="1" applyFill="1" applyBorder="1" applyAlignment="1">
      <alignment horizontal="center" vertical="center" wrapText="1"/>
    </xf>
    <xf numFmtId="165" fontId="2" fillId="4" borderId="7" xfId="0" applyNumberFormat="1" applyFont="1" applyFill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 wrapText="1"/>
    </xf>
    <xf numFmtId="165" fontId="2" fillId="4" borderId="9" xfId="0" applyNumberFormat="1" applyFont="1" applyFill="1" applyBorder="1" applyAlignment="1">
      <alignment horizontal="left" vertical="center" wrapText="1"/>
    </xf>
    <xf numFmtId="2" fontId="2" fillId="4" borderId="7" xfId="0" applyNumberFormat="1" applyFont="1" applyFill="1" applyBorder="1" applyAlignment="1">
      <alignment horizontal="left" vertical="center" wrapText="1"/>
    </xf>
    <xf numFmtId="165" fontId="4" fillId="0" borderId="7" xfId="0" applyNumberFormat="1" applyFont="1" applyBorder="1" applyAlignment="1">
      <alignment horizontal="right" vertical="center" wrapText="1"/>
    </xf>
    <xf numFmtId="10" fontId="2" fillId="4" borderId="7" xfId="0" applyNumberFormat="1" applyFont="1" applyFill="1" applyBorder="1" applyAlignment="1">
      <alignment horizontal="left" vertical="center" wrapText="1"/>
    </xf>
    <xf numFmtId="165" fontId="4" fillId="4" borderId="7" xfId="0" applyNumberFormat="1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center" vertical="center" wrapText="1"/>
    </xf>
    <xf numFmtId="165" fontId="6" fillId="4" borderId="7" xfId="0" applyNumberFormat="1" applyFont="1" applyFill="1" applyBorder="1" applyAlignment="1">
      <alignment horizontal="right" vertical="center" wrapText="1"/>
    </xf>
    <xf numFmtId="165" fontId="4" fillId="5" borderId="3" xfId="0" applyNumberFormat="1" applyFont="1" applyFill="1" applyBorder="1" applyAlignment="1">
      <alignment horizontal="center" vertical="center" wrapText="1"/>
    </xf>
    <xf numFmtId="167" fontId="3" fillId="4" borderId="3" xfId="0" applyNumberFormat="1" applyFont="1" applyFill="1" applyBorder="1" applyAlignment="1">
      <alignment horizontal="center" vertical="center" wrapText="1"/>
    </xf>
    <xf numFmtId="167" fontId="4" fillId="4" borderId="9" xfId="0" applyNumberFormat="1" applyFont="1" applyFill="1" applyBorder="1" applyAlignment="1">
      <alignment horizontal="center" vertical="center" wrapText="1"/>
    </xf>
    <xf numFmtId="165" fontId="7" fillId="4" borderId="5" xfId="0" applyNumberFormat="1" applyFont="1" applyFill="1" applyBorder="1" applyAlignment="1">
      <alignment horizontal="center" vertical="center" wrapText="1"/>
    </xf>
    <xf numFmtId="165" fontId="7" fillId="4" borderId="20" xfId="0" applyNumberFormat="1" applyFont="1" applyFill="1" applyBorder="1" applyAlignment="1">
      <alignment horizontal="center" vertical="center" wrapText="1"/>
    </xf>
    <xf numFmtId="165" fontId="7" fillId="4" borderId="9" xfId="0" applyNumberFormat="1" applyFont="1" applyFill="1" applyBorder="1" applyAlignment="1">
      <alignment horizontal="center" vertical="center" wrapText="1"/>
    </xf>
    <xf numFmtId="167" fontId="10" fillId="4" borderId="9" xfId="0" applyNumberFormat="1" applyFont="1" applyFill="1" applyBorder="1" applyAlignment="1">
      <alignment horizontal="left" vertical="center" wrapText="1"/>
    </xf>
    <xf numFmtId="167" fontId="3" fillId="4" borderId="10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0" fontId="2" fillId="4" borderId="3" xfId="0" applyNumberFormat="1" applyFont="1" applyFill="1" applyBorder="1" applyAlignment="1">
      <alignment horizontal="left" vertical="center" wrapText="1"/>
    </xf>
    <xf numFmtId="167" fontId="10" fillId="4" borderId="9" xfId="0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7" fontId="3" fillId="4" borderId="9" xfId="0" applyNumberFormat="1" applyFont="1" applyFill="1" applyBorder="1" applyAlignment="1">
      <alignment horizontal="center" vertical="center" wrapText="1"/>
    </xf>
    <xf numFmtId="9" fontId="2" fillId="4" borderId="3" xfId="0" applyNumberFormat="1" applyFont="1" applyFill="1" applyBorder="1" applyAlignment="1">
      <alignment horizontal="left" vertical="center" wrapText="1"/>
    </xf>
    <xf numFmtId="165" fontId="3" fillId="4" borderId="9" xfId="0" applyNumberFormat="1" applyFont="1" applyFill="1" applyBorder="1" applyAlignment="1">
      <alignment horizontal="center" vertical="center" wrapText="1"/>
    </xf>
    <xf numFmtId="9" fontId="3" fillId="4" borderId="3" xfId="0" applyNumberFormat="1" applyFont="1" applyFill="1" applyBorder="1" applyAlignment="1">
      <alignment horizontal="center" vertical="center" wrapText="1"/>
    </xf>
    <xf numFmtId="165" fontId="3" fillId="4" borderId="0" xfId="0" applyNumberFormat="1" applyFont="1" applyFill="1" applyAlignment="1">
      <alignment horizontal="center" vertical="center" wrapText="1"/>
    </xf>
    <xf numFmtId="165" fontId="8" fillId="4" borderId="17" xfId="0" applyNumberFormat="1" applyFont="1" applyFill="1" applyBorder="1" applyAlignment="1">
      <alignment horizontal="center" vertical="center" wrapText="1"/>
    </xf>
    <xf numFmtId="165" fontId="8" fillId="4" borderId="9" xfId="0" applyNumberFormat="1" applyFont="1" applyFill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 wrapText="1"/>
    </xf>
    <xf numFmtId="9" fontId="3" fillId="4" borderId="5" xfId="0" applyNumberFormat="1" applyFont="1" applyFill="1" applyBorder="1" applyAlignment="1">
      <alignment horizontal="center" vertical="center" wrapText="1"/>
    </xf>
    <xf numFmtId="165" fontId="3" fillId="4" borderId="16" xfId="0" applyNumberFormat="1" applyFont="1" applyFill="1" applyBorder="1" applyAlignment="1">
      <alignment horizontal="center" vertical="center" wrapText="1"/>
    </xf>
    <xf numFmtId="165" fontId="4" fillId="4" borderId="17" xfId="0" applyNumberFormat="1" applyFont="1" applyFill="1" applyBorder="1" applyAlignment="1">
      <alignment horizontal="center" vertical="center" wrapText="1"/>
    </xf>
    <xf numFmtId="165" fontId="3" fillId="4" borderId="8" xfId="0" applyNumberFormat="1" applyFont="1" applyFill="1" applyBorder="1" applyAlignment="1">
      <alignment horizontal="center" vertical="center" wrapText="1"/>
    </xf>
    <xf numFmtId="165" fontId="4" fillId="9" borderId="8" xfId="0" applyNumberFormat="1" applyFont="1" applyFill="1" applyBorder="1" applyAlignment="1">
      <alignment horizontal="center" vertical="center" wrapText="1"/>
    </xf>
    <xf numFmtId="165" fontId="3" fillId="0" borderId="9" xfId="0" applyNumberFormat="1" applyFont="1" applyBorder="1" applyAlignment="1">
      <alignment vertical="center" wrapText="1"/>
    </xf>
    <xf numFmtId="165" fontId="4" fillId="9" borderId="7" xfId="0" applyNumberFormat="1" applyFont="1" applyFill="1" applyBorder="1" applyAlignment="1">
      <alignment horizontal="center" vertical="center" wrapText="1"/>
    </xf>
    <xf numFmtId="165" fontId="3" fillId="4" borderId="16" xfId="0" applyNumberFormat="1" applyFont="1" applyFill="1" applyBorder="1" applyAlignment="1">
      <alignment horizontal="left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165" fontId="4" fillId="9" borderId="5" xfId="0" applyNumberFormat="1" applyFont="1" applyFill="1" applyBorder="1" applyAlignment="1">
      <alignment horizontal="center" vertical="center" wrapText="1"/>
    </xf>
    <xf numFmtId="3" fontId="3" fillId="4" borderId="7" xfId="0" applyNumberFormat="1" applyFont="1" applyFill="1" applyBorder="1" applyAlignment="1">
      <alignment horizontal="center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left" vertical="center" wrapText="1"/>
    </xf>
    <xf numFmtId="165" fontId="6" fillId="4" borderId="8" xfId="0" applyNumberFormat="1" applyFont="1" applyFill="1" applyBorder="1" applyAlignment="1">
      <alignment horizontal="right" vertical="center" wrapText="1"/>
    </xf>
    <xf numFmtId="10" fontId="2" fillId="0" borderId="8" xfId="0" applyNumberFormat="1" applyFont="1" applyBorder="1" applyAlignment="1">
      <alignment horizontal="left" vertical="center" wrapText="1"/>
    </xf>
    <xf numFmtId="165" fontId="2" fillId="0" borderId="8" xfId="0" applyNumberFormat="1" applyFont="1" applyBorder="1" applyAlignment="1">
      <alignment horizontal="left" vertical="center" wrapText="1"/>
    </xf>
    <xf numFmtId="165" fontId="4" fillId="5" borderId="8" xfId="0" applyNumberFormat="1" applyFont="1" applyFill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left" vertical="center" wrapText="1"/>
    </xf>
    <xf numFmtId="10" fontId="2" fillId="4" borderId="9" xfId="0" applyNumberFormat="1" applyFont="1" applyFill="1" applyBorder="1" applyAlignment="1">
      <alignment horizontal="left" vertical="center" wrapText="1"/>
    </xf>
    <xf numFmtId="1" fontId="3" fillId="4" borderId="9" xfId="0" applyNumberFormat="1" applyFont="1" applyFill="1" applyBorder="1" applyAlignment="1">
      <alignment horizontal="center" vertical="center" wrapText="1"/>
    </xf>
    <xf numFmtId="10" fontId="3" fillId="4" borderId="9" xfId="0" applyNumberFormat="1" applyFont="1" applyFill="1" applyBorder="1" applyAlignment="1">
      <alignment horizontal="left" vertical="center" wrapText="1"/>
    </xf>
    <xf numFmtId="165" fontId="10" fillId="4" borderId="9" xfId="0" applyNumberFormat="1" applyFont="1" applyFill="1" applyBorder="1" applyAlignment="1">
      <alignment horizontal="left" vertical="center" wrapText="1"/>
    </xf>
    <xf numFmtId="167" fontId="8" fillId="4" borderId="9" xfId="0" applyNumberFormat="1" applyFont="1" applyFill="1" applyBorder="1" applyAlignment="1">
      <alignment horizontal="center" vertical="center" wrapText="1"/>
    </xf>
    <xf numFmtId="9" fontId="3" fillId="4" borderId="9" xfId="0" applyNumberFormat="1" applyFont="1" applyFill="1" applyBorder="1" applyAlignment="1">
      <alignment horizontal="center" vertical="center" wrapText="1"/>
    </xf>
    <xf numFmtId="165" fontId="2" fillId="4" borderId="9" xfId="0" applyNumberFormat="1" applyFont="1" applyFill="1" applyBorder="1" applyAlignment="1">
      <alignment horizontal="center" vertical="center" wrapText="1"/>
    </xf>
    <xf numFmtId="164" fontId="10" fillId="4" borderId="9" xfId="0" applyNumberFormat="1" applyFont="1" applyFill="1" applyBorder="1" applyAlignment="1">
      <alignment horizontal="center" vertical="center" wrapText="1"/>
    </xf>
    <xf numFmtId="165" fontId="4" fillId="9" borderId="9" xfId="0" applyNumberFormat="1" applyFont="1" applyFill="1" applyBorder="1" applyAlignment="1">
      <alignment horizontal="center" vertical="center" wrapText="1"/>
    </xf>
    <xf numFmtId="1" fontId="3" fillId="4" borderId="23" xfId="0" applyNumberFormat="1" applyFont="1" applyFill="1" applyBorder="1" applyAlignment="1">
      <alignment horizontal="center" vertical="center" wrapText="1"/>
    </xf>
    <xf numFmtId="165" fontId="3" fillId="4" borderId="23" xfId="0" applyNumberFormat="1" applyFont="1" applyFill="1" applyBorder="1" applyAlignment="1">
      <alignment horizontal="left" vertical="center" wrapText="1"/>
    </xf>
    <xf numFmtId="9" fontId="3" fillId="4" borderId="0" xfId="0" applyNumberFormat="1" applyFont="1" applyFill="1" applyAlignment="1">
      <alignment horizontal="center" vertical="center" wrapText="1"/>
    </xf>
    <xf numFmtId="165" fontId="3" fillId="4" borderId="23" xfId="0" applyNumberFormat="1" applyFont="1" applyFill="1" applyBorder="1" applyAlignment="1">
      <alignment horizontal="center" vertical="center" wrapText="1"/>
    </xf>
    <xf numFmtId="165" fontId="4" fillId="9" borderId="0" xfId="0" applyNumberFormat="1" applyFont="1" applyFill="1" applyAlignment="1">
      <alignment horizontal="center" vertical="center" wrapText="1"/>
    </xf>
    <xf numFmtId="165" fontId="4" fillId="9" borderId="23" xfId="0" applyNumberFormat="1" applyFont="1" applyFill="1" applyBorder="1" applyAlignment="1">
      <alignment horizontal="center" vertical="center" wrapText="1"/>
    </xf>
    <xf numFmtId="9" fontId="3" fillId="4" borderId="23" xfId="0" applyNumberFormat="1" applyFont="1" applyFill="1" applyBorder="1" applyAlignment="1">
      <alignment horizontal="center" vertical="center" wrapText="1"/>
    </xf>
    <xf numFmtId="2" fontId="2" fillId="4" borderId="9" xfId="0" applyNumberFormat="1" applyFont="1" applyFill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left" vertical="center" wrapText="1"/>
    </xf>
    <xf numFmtId="10" fontId="3" fillId="0" borderId="9" xfId="0" applyNumberFormat="1" applyFont="1" applyBorder="1" applyAlignment="1">
      <alignment horizontal="left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left" vertical="center" wrapText="1"/>
    </xf>
    <xf numFmtId="165" fontId="7" fillId="4" borderId="16" xfId="0" applyNumberFormat="1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 wrapText="1"/>
    </xf>
    <xf numFmtId="1" fontId="3" fillId="4" borderId="6" xfId="0" applyNumberFormat="1" applyFont="1" applyFill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left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left" vertical="center" wrapText="1"/>
    </xf>
    <xf numFmtId="2" fontId="2" fillId="4" borderId="6" xfId="0" applyNumberFormat="1" applyFont="1" applyFill="1" applyBorder="1" applyAlignment="1">
      <alignment horizontal="left" vertical="center" wrapText="1"/>
    </xf>
    <xf numFmtId="165" fontId="4" fillId="5" borderId="7" xfId="0" applyNumberFormat="1" applyFont="1" applyFill="1" applyBorder="1" applyAlignment="1">
      <alignment horizontal="center" vertical="center" wrapText="1"/>
    </xf>
    <xf numFmtId="9" fontId="2" fillId="0" borderId="7" xfId="0" applyNumberFormat="1" applyFont="1" applyBorder="1" applyAlignment="1">
      <alignment horizontal="left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left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left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left" vertical="center" wrapText="1"/>
    </xf>
    <xf numFmtId="2" fontId="2" fillId="6" borderId="25" xfId="0" applyNumberFormat="1" applyFont="1" applyFill="1" applyBorder="1" applyAlignment="1">
      <alignment horizontal="center" vertical="center" wrapText="1"/>
    </xf>
    <xf numFmtId="2" fontId="2" fillId="6" borderId="26" xfId="0" applyNumberFormat="1" applyFont="1" applyFill="1" applyBorder="1" applyAlignment="1">
      <alignment horizontal="center" vertical="center" wrapText="1"/>
    </xf>
    <xf numFmtId="2" fontId="2" fillId="6" borderId="27" xfId="0" applyNumberFormat="1" applyFont="1" applyFill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 vertical="center" wrapText="1"/>
    </xf>
    <xf numFmtId="10" fontId="2" fillId="0" borderId="29" xfId="0" applyNumberFormat="1" applyFont="1" applyBorder="1" applyAlignment="1">
      <alignment horizontal="left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65" fontId="3" fillId="4" borderId="9" xfId="0" applyNumberFormat="1" applyFont="1" applyFill="1" applyBorder="1" applyAlignment="1">
      <alignment vertical="center" wrapText="1"/>
    </xf>
    <xf numFmtId="10" fontId="2" fillId="0" borderId="14" xfId="0" applyNumberFormat="1" applyFont="1" applyBorder="1" applyAlignment="1">
      <alignment horizontal="left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65" fontId="11" fillId="4" borderId="9" xfId="0" applyNumberFormat="1" applyFont="1" applyFill="1" applyBorder="1" applyAlignment="1">
      <alignment vertical="center" wrapText="1"/>
    </xf>
    <xf numFmtId="9" fontId="2" fillId="0" borderId="9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165" fontId="3" fillId="0" borderId="30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9" fontId="2" fillId="0" borderId="14" xfId="0" applyNumberFormat="1" applyFont="1" applyBorder="1" applyAlignment="1">
      <alignment horizontal="center" vertical="center" wrapText="1"/>
    </xf>
    <xf numFmtId="165" fontId="3" fillId="4" borderId="23" xfId="0" applyNumberFormat="1" applyFont="1" applyFill="1" applyBorder="1" applyAlignment="1">
      <alignment vertical="center" wrapText="1"/>
    </xf>
    <xf numFmtId="2" fontId="2" fillId="0" borderId="12" xfId="0" applyNumberFormat="1" applyFont="1" applyBorder="1" applyAlignment="1">
      <alignment horizontal="left" vertical="center" wrapText="1"/>
    </xf>
    <xf numFmtId="9" fontId="2" fillId="0" borderId="7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2" fillId="9" borderId="8" xfId="0" applyNumberFormat="1" applyFont="1" applyFill="1" applyBorder="1" applyAlignment="1">
      <alignment horizontal="left" vertical="center" wrapText="1"/>
    </xf>
    <xf numFmtId="165" fontId="3" fillId="9" borderId="9" xfId="0" applyNumberFormat="1" applyFont="1" applyFill="1" applyBorder="1" applyAlignment="1">
      <alignment horizontal="center" vertical="center" wrapText="1"/>
    </xf>
    <xf numFmtId="165" fontId="2" fillId="9" borderId="9" xfId="0" applyNumberFormat="1" applyFont="1" applyFill="1" applyBorder="1" applyAlignment="1">
      <alignment horizontal="center" vertical="center" wrapText="1"/>
    </xf>
    <xf numFmtId="165" fontId="4" fillId="0" borderId="16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165" fontId="3" fillId="0" borderId="21" xfId="0" applyNumberFormat="1" applyFont="1" applyBorder="1" applyAlignment="1">
      <alignment horizontal="center" vertical="center" wrapText="1"/>
    </xf>
    <xf numFmtId="165" fontId="2" fillId="0" borderId="32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left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/>
    </xf>
    <xf numFmtId="164" fontId="12" fillId="6" borderId="0" xfId="0" applyNumberFormat="1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0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165" fontId="4" fillId="0" borderId="1" xfId="0" applyNumberFormat="1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left" vertical="center" wrapText="1"/>
    </xf>
    <xf numFmtId="164" fontId="12" fillId="6" borderId="33" xfId="0" applyNumberFormat="1" applyFont="1" applyFill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left" vertical="center" wrapText="1"/>
    </xf>
    <xf numFmtId="169" fontId="17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8" fillId="4" borderId="7" xfId="0" applyFont="1" applyFill="1" applyBorder="1" applyAlignment="1">
      <alignment horizontal="left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10" fontId="13" fillId="0" borderId="7" xfId="0" applyNumberFormat="1" applyFont="1" applyBorder="1" applyAlignment="1">
      <alignment horizontal="center" vertical="center" wrapText="1"/>
    </xf>
    <xf numFmtId="169" fontId="13" fillId="0" borderId="7" xfId="0" applyNumberFormat="1" applyFont="1" applyBorder="1" applyAlignment="1">
      <alignment horizontal="left" vertical="center" wrapText="1"/>
    </xf>
    <xf numFmtId="0" fontId="19" fillId="4" borderId="7" xfId="0" applyFont="1" applyFill="1" applyBorder="1" applyAlignment="1">
      <alignment horizontal="left" vertical="center" wrapText="1"/>
    </xf>
    <xf numFmtId="10" fontId="20" fillId="0" borderId="7" xfId="0" applyNumberFormat="1" applyFont="1" applyBorder="1" applyAlignment="1">
      <alignment horizontal="center" vertical="center" wrapText="1"/>
    </xf>
    <xf numFmtId="169" fontId="20" fillId="0" borderId="7" xfId="0" applyNumberFormat="1" applyFont="1" applyBorder="1" applyAlignment="1">
      <alignment horizontal="center" vertical="center" wrapText="1"/>
    </xf>
    <xf numFmtId="169" fontId="20" fillId="0" borderId="7" xfId="0" applyNumberFormat="1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170" fontId="4" fillId="0" borderId="1" xfId="0" applyNumberFormat="1" applyFont="1" applyBorder="1" applyAlignment="1">
      <alignment horizontal="center" vertical="center" wrapText="1"/>
    </xf>
    <xf numFmtId="169" fontId="16" fillId="0" borderId="7" xfId="0" applyNumberFormat="1" applyFont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right" vertical="center" wrapText="1"/>
    </xf>
    <xf numFmtId="0" fontId="13" fillId="0" borderId="34" xfId="0" applyFont="1" applyBorder="1" applyAlignment="1">
      <alignment horizontal="left" vertical="center" wrapText="1"/>
    </xf>
    <xf numFmtId="164" fontId="13" fillId="0" borderId="34" xfId="0" applyNumberFormat="1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14" fontId="23" fillId="0" borderId="9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7" fillId="4" borderId="7" xfId="0" applyFont="1" applyFill="1" applyBorder="1" applyAlignment="1">
      <alignment horizontal="center" vertical="center" wrapText="1"/>
    </xf>
    <xf numFmtId="10" fontId="24" fillId="0" borderId="7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5" fontId="7" fillId="11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right" vertical="center" wrapText="1"/>
    </xf>
    <xf numFmtId="10" fontId="25" fillId="0" borderId="7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right" vertical="center" wrapText="1"/>
    </xf>
    <xf numFmtId="10" fontId="25" fillId="11" borderId="7" xfId="0" applyNumberFormat="1" applyFont="1" applyFill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center" vertical="center" wrapText="1"/>
    </xf>
    <xf numFmtId="2" fontId="26" fillId="12" borderId="23" xfId="0" applyNumberFormat="1" applyFont="1" applyFill="1" applyBorder="1" applyAlignment="1">
      <alignment horizontal="center" vertical="center" wrapText="1"/>
    </xf>
    <xf numFmtId="165" fontId="26" fillId="12" borderId="9" xfId="0" applyNumberFormat="1" applyFont="1" applyFill="1" applyBorder="1" applyAlignment="1">
      <alignment horizontal="center" vertical="center" wrapText="1"/>
    </xf>
    <xf numFmtId="10" fontId="26" fillId="13" borderId="9" xfId="0" applyNumberFormat="1" applyFont="1" applyFill="1" applyBorder="1" applyAlignment="1">
      <alignment horizontal="center" vertical="center" wrapText="1"/>
    </xf>
    <xf numFmtId="165" fontId="27" fillId="13" borderId="9" xfId="0" applyNumberFormat="1" applyFont="1" applyFill="1" applyBorder="1" applyAlignment="1">
      <alignment horizontal="center" vertical="center" wrapText="1"/>
    </xf>
    <xf numFmtId="164" fontId="2" fillId="0" borderId="9" xfId="0" applyNumberFormat="1" applyFont="1" applyBorder="1" applyAlignment="1">
      <alignment vertical="center" wrapText="1"/>
    </xf>
    <xf numFmtId="165" fontId="26" fillId="13" borderId="9" xfId="0" applyNumberFormat="1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165" fontId="26" fillId="12" borderId="9" xfId="0" applyNumberFormat="1" applyFont="1" applyFill="1" applyBorder="1" applyAlignment="1">
      <alignment horizontal="left" vertical="center" wrapText="1"/>
    </xf>
    <xf numFmtId="165" fontId="28" fillId="13" borderId="9" xfId="0" applyNumberFormat="1" applyFont="1" applyFill="1" applyBorder="1" applyAlignment="1">
      <alignment horizontal="center" vertical="center" wrapText="1"/>
    </xf>
    <xf numFmtId="10" fontId="28" fillId="13" borderId="9" xfId="0" applyNumberFormat="1" applyFont="1" applyFill="1" applyBorder="1" applyAlignment="1">
      <alignment horizontal="center" vertical="center" wrapText="1"/>
    </xf>
    <xf numFmtId="165" fontId="28" fillId="0" borderId="9" xfId="0" applyNumberFormat="1" applyFont="1" applyBorder="1" applyAlignment="1">
      <alignment horizontal="left" vertical="center" wrapText="1"/>
    </xf>
    <xf numFmtId="10" fontId="29" fillId="13" borderId="9" xfId="0" applyNumberFormat="1" applyFont="1" applyFill="1" applyBorder="1" applyAlignment="1">
      <alignment horizontal="center" vertical="center" wrapText="1"/>
    </xf>
    <xf numFmtId="165" fontId="29" fillId="0" borderId="9" xfId="0" applyNumberFormat="1" applyFont="1" applyBorder="1" applyAlignment="1">
      <alignment horizontal="left" vertical="center" wrapText="1"/>
    </xf>
    <xf numFmtId="165" fontId="26" fillId="12" borderId="9" xfId="0" applyNumberFormat="1" applyFont="1" applyFill="1" applyBorder="1" applyAlignment="1">
      <alignment horizontal="right" vertical="center" wrapText="1"/>
    </xf>
    <xf numFmtId="165" fontId="28" fillId="13" borderId="9" xfId="0" applyNumberFormat="1" applyFont="1" applyFill="1" applyBorder="1" applyAlignment="1">
      <alignment horizontal="left" wrapText="1"/>
    </xf>
    <xf numFmtId="0" fontId="15" fillId="0" borderId="41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/>
    </xf>
    <xf numFmtId="10" fontId="15" fillId="0" borderId="41" xfId="0" applyNumberFormat="1" applyFont="1" applyBorder="1" applyAlignment="1">
      <alignment horizontal="center" vertical="center" wrapText="1"/>
    </xf>
    <xf numFmtId="168" fontId="15" fillId="0" borderId="41" xfId="0" applyNumberFormat="1" applyFont="1" applyBorder="1" applyAlignment="1">
      <alignment horizontal="center" vertical="center"/>
    </xf>
    <xf numFmtId="0" fontId="31" fillId="9" borderId="1" xfId="0" applyFont="1" applyFill="1" applyBorder="1" applyAlignment="1">
      <alignment horizontal="left" vertical="center" wrapText="1"/>
    </xf>
    <xf numFmtId="4" fontId="32" fillId="9" borderId="1" xfId="0" applyNumberFormat="1" applyFont="1" applyFill="1" applyBorder="1" applyAlignment="1">
      <alignment horizontal="center" vertical="center" wrapText="1"/>
    </xf>
    <xf numFmtId="168" fontId="33" fillId="9" borderId="1" xfId="0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10" fontId="31" fillId="0" borderId="1" xfId="0" applyNumberFormat="1" applyFont="1" applyBorder="1" applyAlignment="1">
      <alignment horizontal="center" vertical="center"/>
    </xf>
    <xf numFmtId="168" fontId="34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168" fontId="31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0" fontId="31" fillId="9" borderId="1" xfId="0" applyNumberFormat="1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right" vertical="center" wrapText="1"/>
    </xf>
    <xf numFmtId="10" fontId="34" fillId="9" borderId="1" xfId="0" applyNumberFormat="1" applyFont="1" applyFill="1" applyBorder="1" applyAlignment="1">
      <alignment horizontal="center" vertical="center"/>
    </xf>
    <xf numFmtId="168" fontId="32" fillId="9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vertical="center" wrapText="1"/>
    </xf>
    <xf numFmtId="9" fontId="34" fillId="9" borderId="1" xfId="2" applyNumberFormat="1" applyFont="1" applyFill="1" applyBorder="1" applyAlignment="1">
      <alignment horizontal="center" vertical="center"/>
    </xf>
    <xf numFmtId="168" fontId="35" fillId="9" borderId="1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5" fontId="3" fillId="0" borderId="43" xfId="0" applyNumberFormat="1" applyFont="1" applyBorder="1" applyAlignment="1">
      <alignment horizontal="center" vertical="center" wrapText="1"/>
    </xf>
    <xf numFmtId="10" fontId="24" fillId="0" borderId="3" xfId="0" applyNumberFormat="1" applyFont="1" applyBorder="1" applyAlignment="1">
      <alignment horizontal="center" vertical="center" wrapText="1"/>
    </xf>
    <xf numFmtId="165" fontId="10" fillId="0" borderId="9" xfId="0" applyNumberFormat="1" applyFont="1" applyBorder="1" applyAlignment="1">
      <alignment horizontal="center" vertical="center" wrapText="1"/>
    </xf>
    <xf numFmtId="165" fontId="2" fillId="0" borderId="42" xfId="0" applyNumberFormat="1" applyFont="1" applyBorder="1" applyAlignment="1">
      <alignment horizontal="center" vertical="center" wrapText="1"/>
    </xf>
    <xf numFmtId="165" fontId="10" fillId="0" borderId="15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165" fontId="5" fillId="15" borderId="1" xfId="0" applyNumberFormat="1" applyFont="1" applyFill="1" applyBorder="1" applyAlignment="1">
      <alignment horizontal="right" vertical="center" wrapText="1"/>
    </xf>
    <xf numFmtId="10" fontId="25" fillId="15" borderId="19" xfId="0" applyNumberFormat="1" applyFont="1" applyFill="1" applyBorder="1" applyAlignment="1">
      <alignment horizontal="center" vertical="center" wrapText="1"/>
    </xf>
    <xf numFmtId="165" fontId="5" fillId="15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2" fontId="2" fillId="0" borderId="44" xfId="0" applyNumberFormat="1" applyFont="1" applyBorder="1" applyAlignment="1">
      <alignment horizontal="left" vertical="center" wrapText="1"/>
    </xf>
    <xf numFmtId="165" fontId="2" fillId="0" borderId="44" xfId="0" applyNumberFormat="1" applyFont="1" applyBorder="1" applyAlignment="1">
      <alignment horizontal="left" vertical="center" wrapText="1"/>
    </xf>
    <xf numFmtId="10" fontId="2" fillId="0" borderId="44" xfId="0" applyNumberFormat="1" applyFont="1" applyBorder="1" applyAlignment="1">
      <alignment horizontal="left" vertical="center" wrapText="1"/>
    </xf>
    <xf numFmtId="164" fontId="13" fillId="0" borderId="0" xfId="0" applyNumberFormat="1" applyFont="1" applyAlignment="1">
      <alignment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/>
    </xf>
    <xf numFmtId="169" fontId="21" fillId="7" borderId="5" xfId="0" applyNumberFormat="1" applyFont="1" applyFill="1" applyBorder="1" applyAlignment="1">
      <alignment horizontal="center" vertical="center" wrapText="1"/>
    </xf>
    <xf numFmtId="10" fontId="15" fillId="0" borderId="47" xfId="0" applyNumberFormat="1" applyFont="1" applyBorder="1" applyAlignment="1">
      <alignment horizontal="center" vertical="center" wrapText="1"/>
    </xf>
    <xf numFmtId="168" fontId="15" fillId="0" borderId="48" xfId="0" applyNumberFormat="1" applyFont="1" applyBorder="1" applyAlignment="1">
      <alignment horizontal="center" vertical="center"/>
    </xf>
    <xf numFmtId="168" fontId="15" fillId="0" borderId="49" xfId="0" applyNumberFormat="1" applyFont="1" applyBorder="1" applyAlignment="1">
      <alignment horizontal="center" vertical="center"/>
    </xf>
    <xf numFmtId="10" fontId="15" fillId="0" borderId="50" xfId="0" applyNumberFormat="1" applyFont="1" applyBorder="1" applyAlignment="1">
      <alignment horizontal="center" vertical="center" wrapText="1"/>
    </xf>
    <xf numFmtId="168" fontId="15" fillId="0" borderId="51" xfId="0" applyNumberFormat="1" applyFont="1" applyBorder="1" applyAlignment="1">
      <alignment horizontal="center" vertical="center"/>
    </xf>
    <xf numFmtId="168" fontId="15" fillId="0" borderId="52" xfId="0" applyNumberFormat="1" applyFont="1" applyBorder="1" applyAlignment="1">
      <alignment horizontal="center" vertical="center"/>
    </xf>
    <xf numFmtId="10" fontId="13" fillId="0" borderId="0" xfId="0" applyNumberFormat="1" applyFont="1" applyAlignment="1">
      <alignment vertical="center" wrapText="1"/>
    </xf>
    <xf numFmtId="168" fontId="13" fillId="0" borderId="0" xfId="0" applyNumberFormat="1" applyFont="1" applyAlignment="1">
      <alignment vertical="center"/>
    </xf>
    <xf numFmtId="0" fontId="17" fillId="0" borderId="22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right" vertical="center" wrapText="1"/>
    </xf>
    <xf numFmtId="0" fontId="13" fillId="0" borderId="8" xfId="0" applyFont="1" applyBorder="1" applyAlignment="1">
      <alignment horizontal="left" vertical="center" wrapText="1"/>
    </xf>
    <xf numFmtId="169" fontId="16" fillId="0" borderId="8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right" vertical="center" wrapText="1"/>
    </xf>
    <xf numFmtId="169" fontId="16" fillId="16" borderId="9" xfId="0" applyNumberFormat="1" applyFont="1" applyFill="1" applyBorder="1" applyAlignment="1">
      <alignment horizontal="center" vertical="center" wrapText="1"/>
    </xf>
    <xf numFmtId="14" fontId="36" fillId="0" borderId="0" xfId="0" applyNumberFormat="1" applyFont="1" applyAlignment="1">
      <alignment horizontal="center" vertical="center" wrapText="1"/>
    </xf>
    <xf numFmtId="0" fontId="12" fillId="6" borderId="53" xfId="0" applyFont="1" applyFill="1" applyBorder="1" applyAlignment="1">
      <alignment horizontal="left" vertical="center" wrapText="1"/>
    </xf>
    <xf numFmtId="164" fontId="12" fillId="6" borderId="53" xfId="0" applyNumberFormat="1" applyFont="1" applyFill="1" applyBorder="1" applyAlignment="1">
      <alignment horizontal="left" vertical="center" wrapText="1"/>
    </xf>
    <xf numFmtId="169" fontId="19" fillId="0" borderId="7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right" vertical="center" wrapText="1"/>
    </xf>
    <xf numFmtId="169" fontId="16" fillId="16" borderId="7" xfId="0" applyNumberFormat="1" applyFont="1" applyFill="1" applyBorder="1" applyAlignment="1">
      <alignment horizontal="center" vertical="center" wrapText="1"/>
    </xf>
    <xf numFmtId="14" fontId="36" fillId="0" borderId="9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6" fillId="17" borderId="7" xfId="0" applyFont="1" applyFill="1" applyBorder="1" applyAlignment="1">
      <alignment horizontal="left" vertical="center" wrapText="1"/>
    </xf>
    <xf numFmtId="9" fontId="22" fillId="17" borderId="7" xfId="0" applyNumberFormat="1" applyFont="1" applyFill="1" applyBorder="1" applyAlignment="1">
      <alignment horizontal="center" vertical="center" wrapText="1"/>
    </xf>
    <xf numFmtId="169" fontId="16" fillId="17" borderId="7" xfId="0" applyNumberFormat="1" applyFont="1" applyFill="1" applyBorder="1" applyAlignment="1">
      <alignment horizontal="center" vertical="center" wrapText="1"/>
    </xf>
    <xf numFmtId="169" fontId="17" fillId="17" borderId="7" xfId="0" applyNumberFormat="1" applyFont="1" applyFill="1" applyBorder="1" applyAlignment="1">
      <alignment horizontal="center" vertical="center" wrapText="1"/>
    </xf>
    <xf numFmtId="0" fontId="13" fillId="17" borderId="7" xfId="0" applyFont="1" applyFill="1" applyBorder="1" applyAlignment="1">
      <alignment horizontal="left" vertical="center" wrapText="1"/>
    </xf>
    <xf numFmtId="169" fontId="21" fillId="0" borderId="5" xfId="0" applyNumberFormat="1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9" fontId="17" fillId="0" borderId="54" xfId="0" applyNumberFormat="1" applyFont="1" applyBorder="1" applyAlignment="1">
      <alignment horizontal="center" vertical="center" wrapText="1"/>
    </xf>
    <xf numFmtId="171" fontId="17" fillId="0" borderId="55" xfId="0" applyNumberFormat="1" applyFont="1" applyBorder="1" applyAlignment="1">
      <alignment horizontal="center" vertical="center"/>
    </xf>
    <xf numFmtId="172" fontId="17" fillId="0" borderId="56" xfId="0" applyNumberFormat="1" applyFont="1" applyBorder="1" applyAlignment="1">
      <alignment horizontal="center" vertical="center"/>
    </xf>
    <xf numFmtId="9" fontId="17" fillId="0" borderId="31" xfId="0" applyNumberFormat="1" applyFont="1" applyBorder="1" applyAlignment="1">
      <alignment horizontal="center" vertical="center" wrapText="1"/>
    </xf>
    <xf numFmtId="171" fontId="17" fillId="0" borderId="15" xfId="0" applyNumberFormat="1" applyFont="1" applyBorder="1" applyAlignment="1">
      <alignment horizontal="center" vertical="center"/>
    </xf>
    <xf numFmtId="172" fontId="17" fillId="0" borderId="19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right" vertical="center" wrapText="1"/>
    </xf>
    <xf numFmtId="0" fontId="22" fillId="0" borderId="7" xfId="0" applyFont="1" applyBorder="1" applyAlignment="1">
      <alignment horizontal="left" vertical="center" wrapText="1"/>
    </xf>
    <xf numFmtId="169" fontId="16" fillId="18" borderId="7" xfId="0" applyNumberFormat="1" applyFont="1" applyFill="1" applyBorder="1" applyAlignment="1">
      <alignment horizontal="center" vertical="center" wrapText="1"/>
    </xf>
    <xf numFmtId="10" fontId="13" fillId="0" borderId="7" xfId="0" applyNumberFormat="1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64" fontId="13" fillId="0" borderId="44" xfId="0" applyNumberFormat="1" applyFont="1" applyBorder="1" applyAlignment="1">
      <alignment horizontal="left" vertical="center" wrapText="1"/>
    </xf>
    <xf numFmtId="169" fontId="19" fillId="0" borderId="5" xfId="0" applyNumberFormat="1" applyFont="1" applyBorder="1" applyAlignment="1">
      <alignment horizontal="center" vertical="center" wrapText="1"/>
    </xf>
    <xf numFmtId="0" fontId="17" fillId="19" borderId="6" xfId="0" applyFont="1" applyFill="1" applyBorder="1" applyAlignment="1">
      <alignment horizontal="center" vertical="center" wrapText="1"/>
    </xf>
    <xf numFmtId="0" fontId="17" fillId="19" borderId="7" xfId="0" applyFont="1" applyFill="1" applyBorder="1" applyAlignment="1">
      <alignment horizontal="left" vertical="center" wrapText="1"/>
    </xf>
    <xf numFmtId="0" fontId="13" fillId="19" borderId="7" xfId="0" applyFont="1" applyFill="1" applyBorder="1" applyAlignment="1">
      <alignment horizontal="center" vertical="center" wrapText="1"/>
    </xf>
    <xf numFmtId="169" fontId="17" fillId="19" borderId="7" xfId="0" applyNumberFormat="1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0" fontId="15" fillId="0" borderId="59" xfId="0" applyNumberFormat="1" applyFont="1" applyBorder="1" applyAlignment="1">
      <alignment horizontal="center" vertical="center" wrapText="1"/>
    </xf>
    <xf numFmtId="168" fontId="15" fillId="0" borderId="59" xfId="0" applyNumberFormat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169" fontId="17" fillId="0" borderId="1" xfId="0" applyNumberFormat="1" applyFont="1" applyBorder="1" applyAlignment="1">
      <alignment horizontal="center" vertical="center" wrapText="1"/>
    </xf>
    <xf numFmtId="169" fontId="19" fillId="0" borderId="1" xfId="0" applyNumberFormat="1" applyFont="1" applyBorder="1" applyAlignment="1">
      <alignment horizontal="center" vertical="center" wrapText="1"/>
    </xf>
    <xf numFmtId="10" fontId="15" fillId="0" borderId="48" xfId="0" applyNumberFormat="1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169" fontId="17" fillId="9" borderId="1" xfId="0" applyNumberFormat="1" applyFont="1" applyFill="1" applyBorder="1" applyAlignment="1">
      <alignment horizontal="center" vertical="center" wrapText="1"/>
    </xf>
    <xf numFmtId="10" fontId="15" fillId="0" borderId="51" xfId="0" applyNumberFormat="1" applyFont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left" vertical="center" wrapText="1"/>
    </xf>
    <xf numFmtId="9" fontId="22" fillId="17" borderId="1" xfId="0" applyNumberFormat="1" applyFont="1" applyFill="1" applyBorder="1" applyAlignment="1">
      <alignment horizontal="center" vertical="center" wrapText="1"/>
    </xf>
    <xf numFmtId="169" fontId="16" fillId="17" borderId="1" xfId="0" applyNumberFormat="1" applyFont="1" applyFill="1" applyBorder="1" applyAlignment="1">
      <alignment horizontal="center" vertical="center" wrapText="1"/>
    </xf>
    <xf numFmtId="169" fontId="17" fillId="17" borderId="1" xfId="0" applyNumberFormat="1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10" fontId="13" fillId="0" borderId="1" xfId="0" applyNumberFormat="1" applyFont="1" applyBorder="1" applyAlignment="1">
      <alignment horizontal="center" vertical="center" wrapText="1"/>
    </xf>
    <xf numFmtId="169" fontId="13" fillId="0" borderId="1" xfId="0" applyNumberFormat="1" applyFont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169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right" vertical="center" wrapText="1"/>
    </xf>
    <xf numFmtId="10" fontId="13" fillId="0" borderId="1" xfId="0" applyNumberFormat="1" applyFont="1" applyBorder="1" applyAlignment="1">
      <alignment horizontal="left" vertical="center" wrapText="1"/>
    </xf>
    <xf numFmtId="169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right" vertical="center" wrapText="1"/>
    </xf>
    <xf numFmtId="169" fontId="16" fillId="18" borderId="1" xfId="0" applyNumberFormat="1" applyFont="1" applyFill="1" applyBorder="1" applyAlignment="1">
      <alignment horizontal="center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61" xfId="0" applyFont="1" applyBorder="1" applyAlignment="1">
      <alignment horizontal="left" vertical="center" wrapText="1"/>
    </xf>
    <xf numFmtId="164" fontId="13" fillId="0" borderId="60" xfId="0" applyNumberFormat="1" applyFont="1" applyBorder="1" applyAlignment="1">
      <alignment horizontal="left" vertical="center" wrapText="1"/>
    </xf>
    <xf numFmtId="0" fontId="35" fillId="0" borderId="12" xfId="0" applyFont="1" applyBorder="1" applyAlignment="1">
      <alignment horizontal="left" vertical="center" wrapText="1"/>
    </xf>
    <xf numFmtId="14" fontId="37" fillId="0" borderId="1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center" wrapText="1"/>
    </xf>
    <xf numFmtId="164" fontId="15" fillId="0" borderId="9" xfId="0" applyNumberFormat="1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left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14" fontId="37" fillId="0" borderId="9" xfId="0" applyNumberFormat="1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4" fontId="17" fillId="0" borderId="1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2" fontId="2" fillId="0" borderId="34" xfId="0" applyNumberFormat="1" applyFont="1" applyBorder="1" applyAlignment="1">
      <alignment horizontal="left" vertical="center" wrapText="1"/>
    </xf>
    <xf numFmtId="165" fontId="2" fillId="0" borderId="34" xfId="0" applyNumberFormat="1" applyFont="1" applyBorder="1" applyAlignment="1">
      <alignment horizontal="left" vertical="center" wrapText="1"/>
    </xf>
    <xf numFmtId="10" fontId="2" fillId="0" borderId="34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center" wrapText="1"/>
    </xf>
    <xf numFmtId="9" fontId="2" fillId="0" borderId="38" xfId="0" applyNumberFormat="1" applyFont="1" applyBorder="1" applyAlignment="1">
      <alignment horizontal="center" vertical="center" wrapText="1"/>
    </xf>
    <xf numFmtId="165" fontId="2" fillId="0" borderId="38" xfId="0" applyNumberFormat="1" applyFont="1" applyBorder="1" applyAlignment="1">
      <alignment horizontal="center" vertical="center" wrapText="1"/>
    </xf>
    <xf numFmtId="1" fontId="3" fillId="2" borderId="9" xfId="0" applyNumberFormat="1" applyFont="1" applyFill="1" applyBorder="1" applyAlignment="1">
      <alignment horizontal="center" vertical="center" wrapText="1"/>
    </xf>
    <xf numFmtId="165" fontId="3" fillId="2" borderId="9" xfId="0" applyNumberFormat="1" applyFont="1" applyFill="1" applyBorder="1" applyAlignment="1">
      <alignment horizontal="left" vertical="center" wrapText="1"/>
    </xf>
    <xf numFmtId="10" fontId="3" fillId="2" borderId="9" xfId="0" applyNumberFormat="1" applyFont="1" applyFill="1" applyBorder="1" applyAlignment="1">
      <alignment horizontal="left" vertical="center" wrapText="1"/>
    </xf>
    <xf numFmtId="165" fontId="3" fillId="2" borderId="9" xfId="0" applyNumberFormat="1" applyFont="1" applyFill="1" applyBorder="1" applyAlignment="1">
      <alignment horizontal="center" vertical="center" wrapText="1"/>
    </xf>
    <xf numFmtId="167" fontId="4" fillId="2" borderId="9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1" fontId="3" fillId="17" borderId="1" xfId="0" applyNumberFormat="1" applyFont="1" applyFill="1" applyBorder="1" applyAlignment="1">
      <alignment horizontal="center" vertical="center" wrapText="1"/>
    </xf>
    <xf numFmtId="165" fontId="3" fillId="17" borderId="9" xfId="0" applyNumberFormat="1" applyFont="1" applyFill="1" applyBorder="1" applyAlignment="1">
      <alignment horizontal="left" vertical="center" wrapText="1"/>
    </xf>
    <xf numFmtId="10" fontId="3" fillId="17" borderId="9" xfId="0" applyNumberFormat="1" applyFont="1" applyFill="1" applyBorder="1" applyAlignment="1">
      <alignment horizontal="left" vertical="center" wrapText="1"/>
    </xf>
    <xf numFmtId="165" fontId="3" fillId="17" borderId="9" xfId="0" applyNumberFormat="1" applyFont="1" applyFill="1" applyBorder="1" applyAlignment="1">
      <alignment horizontal="center" vertical="center" wrapText="1"/>
    </xf>
    <xf numFmtId="167" fontId="4" fillId="17" borderId="9" xfId="0" applyNumberFormat="1" applyFont="1" applyFill="1" applyBorder="1" applyAlignment="1">
      <alignment horizontal="center" vertical="center" wrapText="1"/>
    </xf>
    <xf numFmtId="1" fontId="3" fillId="17" borderId="9" xfId="0" applyNumberFormat="1" applyFont="1" applyFill="1" applyBorder="1" applyAlignment="1">
      <alignment horizontal="center" vertical="center" wrapText="1"/>
    </xf>
    <xf numFmtId="167" fontId="3" fillId="17" borderId="9" xfId="0" applyNumberFormat="1" applyFont="1" applyFill="1" applyBorder="1" applyAlignment="1">
      <alignment horizontal="center" vertical="center" wrapText="1"/>
    </xf>
    <xf numFmtId="9" fontId="3" fillId="20" borderId="9" xfId="0" applyNumberFormat="1" applyFont="1" applyFill="1" applyBorder="1" applyAlignment="1">
      <alignment horizontal="center" vertical="center" wrapText="1"/>
    </xf>
    <xf numFmtId="165" fontId="3" fillId="20" borderId="9" xfId="0" applyNumberFormat="1" applyFont="1" applyFill="1" applyBorder="1" applyAlignment="1">
      <alignment horizontal="center" vertical="center" wrapText="1"/>
    </xf>
    <xf numFmtId="165" fontId="3" fillId="20" borderId="9" xfId="0" applyNumberFormat="1" applyFont="1" applyFill="1" applyBorder="1" applyAlignment="1">
      <alignment horizontal="left" vertical="center" wrapText="1"/>
    </xf>
    <xf numFmtId="165" fontId="2" fillId="17" borderId="1" xfId="0" applyNumberFormat="1" applyFont="1" applyFill="1" applyBorder="1" applyAlignment="1">
      <alignment horizontal="center" vertical="center" wrapText="1"/>
    </xf>
    <xf numFmtId="9" fontId="3" fillId="17" borderId="9" xfId="0" applyNumberFormat="1" applyFont="1" applyFill="1" applyBorder="1" applyAlignment="1">
      <alignment horizontal="center" vertical="center" wrapText="1"/>
    </xf>
    <xf numFmtId="10" fontId="3" fillId="17" borderId="9" xfId="0" applyNumberFormat="1" applyFont="1" applyFill="1" applyBorder="1" applyAlignment="1">
      <alignment horizontal="center" vertical="center" wrapText="1"/>
    </xf>
    <xf numFmtId="165" fontId="4" fillId="20" borderId="9" xfId="0" applyNumberFormat="1" applyFont="1" applyFill="1" applyBorder="1" applyAlignment="1">
      <alignment horizontal="center" vertical="center" wrapText="1"/>
    </xf>
    <xf numFmtId="165" fontId="4" fillId="21" borderId="9" xfId="0" applyNumberFormat="1" applyFont="1" applyFill="1" applyBorder="1" applyAlignment="1">
      <alignment horizontal="center" vertical="center" wrapText="1"/>
    </xf>
    <xf numFmtId="165" fontId="3" fillId="21" borderId="9" xfId="0" applyNumberFormat="1" applyFont="1" applyFill="1" applyBorder="1" applyAlignment="1">
      <alignment horizontal="center" vertical="center" wrapText="1"/>
    </xf>
    <xf numFmtId="165" fontId="3" fillId="20" borderId="23" xfId="0" applyNumberFormat="1" applyFont="1" applyFill="1" applyBorder="1" applyAlignment="1">
      <alignment horizontal="left" vertical="center" wrapText="1"/>
    </xf>
    <xf numFmtId="9" fontId="3" fillId="20" borderId="0" xfId="0" applyNumberFormat="1" applyFont="1" applyFill="1" applyAlignment="1">
      <alignment horizontal="center" vertical="center" wrapText="1"/>
    </xf>
    <xf numFmtId="165" fontId="4" fillId="21" borderId="0" xfId="0" applyNumberFormat="1" applyFont="1" applyFill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 wrapText="1"/>
    </xf>
    <xf numFmtId="165" fontId="6" fillId="4" borderId="43" xfId="0" applyNumberFormat="1" applyFont="1" applyFill="1" applyBorder="1" applyAlignment="1">
      <alignment horizontal="right" vertical="center" wrapText="1"/>
    </xf>
    <xf numFmtId="10" fontId="2" fillId="0" borderId="43" xfId="0" applyNumberFormat="1" applyFont="1" applyBorder="1" applyAlignment="1">
      <alignment horizontal="left" vertical="center" wrapText="1"/>
    </xf>
    <xf numFmtId="165" fontId="2" fillId="0" borderId="43" xfId="0" applyNumberFormat="1" applyFont="1" applyBorder="1" applyAlignment="1">
      <alignment horizontal="center" vertical="center" wrapText="1"/>
    </xf>
    <xf numFmtId="165" fontId="4" fillId="0" borderId="43" xfId="0" applyNumberFormat="1" applyFont="1" applyBorder="1" applyAlignment="1">
      <alignment horizontal="center" vertical="center" wrapText="1"/>
    </xf>
    <xf numFmtId="165" fontId="2" fillId="0" borderId="43" xfId="0" applyNumberFormat="1" applyFont="1" applyBorder="1" applyAlignment="1">
      <alignment horizontal="left" vertical="center" wrapText="1"/>
    </xf>
    <xf numFmtId="2" fontId="2" fillId="0" borderId="3" xfId="0" applyNumberFormat="1" applyFont="1" applyBorder="1" applyAlignment="1">
      <alignment horizontal="left" vertical="center" wrapText="1"/>
    </xf>
    <xf numFmtId="2" fontId="2" fillId="0" borderId="18" xfId="0" applyNumberFormat="1" applyFont="1" applyBorder="1" applyAlignment="1">
      <alignment horizontal="left" vertical="center" wrapText="1"/>
    </xf>
    <xf numFmtId="165" fontId="3" fillId="4" borderId="15" xfId="0" applyNumberFormat="1" applyFont="1" applyFill="1" applyBorder="1" applyAlignment="1">
      <alignment horizontal="left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left" vertical="center" wrapText="1"/>
    </xf>
    <xf numFmtId="165" fontId="3" fillId="4" borderId="43" xfId="0" applyNumberFormat="1" applyFont="1" applyFill="1" applyBorder="1" applyAlignment="1">
      <alignment horizontal="left" vertical="center" wrapText="1"/>
    </xf>
    <xf numFmtId="2" fontId="2" fillId="0" borderId="38" xfId="0" applyNumberFormat="1" applyFont="1" applyBorder="1" applyAlignment="1">
      <alignment horizontal="left" vertical="center" wrapText="1"/>
    </xf>
    <xf numFmtId="0" fontId="13" fillId="0" borderId="71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9" fontId="2" fillId="0" borderId="79" xfId="0" applyNumberFormat="1" applyFont="1" applyBorder="1" applyAlignment="1">
      <alignment horizontal="center" vertical="center" wrapText="1"/>
    </xf>
    <xf numFmtId="165" fontId="2" fillId="0" borderId="81" xfId="0" applyNumberFormat="1" applyFont="1" applyBorder="1" applyAlignment="1">
      <alignment horizontal="center" vertical="center" wrapText="1"/>
    </xf>
    <xf numFmtId="1" fontId="3" fillId="0" borderId="82" xfId="0" applyNumberFormat="1" applyFont="1" applyBorder="1" applyAlignment="1">
      <alignment horizontal="center" vertical="center" wrapText="1"/>
    </xf>
    <xf numFmtId="165" fontId="6" fillId="4" borderId="83" xfId="0" applyNumberFormat="1" applyFont="1" applyFill="1" applyBorder="1" applyAlignment="1">
      <alignment horizontal="right" vertical="center" wrapText="1"/>
    </xf>
    <xf numFmtId="10" fontId="2" fillId="0" borderId="83" xfId="0" applyNumberFormat="1" applyFont="1" applyBorder="1" applyAlignment="1">
      <alignment horizontal="left" vertical="center" wrapText="1"/>
    </xf>
    <xf numFmtId="165" fontId="2" fillId="0" borderId="83" xfId="0" applyNumberFormat="1" applyFont="1" applyBorder="1" applyAlignment="1">
      <alignment horizontal="center" vertical="center" wrapText="1"/>
    </xf>
    <xf numFmtId="165" fontId="4" fillId="0" borderId="83" xfId="0" applyNumberFormat="1" applyFont="1" applyBorder="1" applyAlignment="1">
      <alignment horizontal="center" vertical="center" wrapText="1"/>
    </xf>
    <xf numFmtId="165" fontId="2" fillId="0" borderId="83" xfId="0" applyNumberFormat="1" applyFont="1" applyBorder="1" applyAlignment="1">
      <alignment horizontal="left" vertical="center" wrapText="1"/>
    </xf>
    <xf numFmtId="2" fontId="2" fillId="0" borderId="84" xfId="0" applyNumberFormat="1" applyFont="1" applyBorder="1" applyAlignment="1">
      <alignment horizontal="left" vertical="center" wrapText="1"/>
    </xf>
    <xf numFmtId="2" fontId="2" fillId="0" borderId="85" xfId="0" applyNumberFormat="1" applyFont="1" applyBorder="1" applyAlignment="1">
      <alignment horizontal="left" vertical="center" wrapText="1"/>
    </xf>
    <xf numFmtId="165" fontId="3" fillId="4" borderId="86" xfId="0" applyNumberFormat="1" applyFont="1" applyFill="1" applyBorder="1" applyAlignment="1">
      <alignment horizontal="left" vertical="center" wrapText="1"/>
    </xf>
    <xf numFmtId="14" fontId="2" fillId="0" borderId="86" xfId="0" applyNumberFormat="1" applyFont="1" applyBorder="1" applyAlignment="1">
      <alignment horizontal="center" vertical="center" wrapText="1"/>
    </xf>
    <xf numFmtId="165" fontId="2" fillId="0" borderId="86" xfId="0" applyNumberFormat="1" applyFont="1" applyBorder="1" applyAlignment="1">
      <alignment horizontal="center" vertical="center" wrapText="1"/>
    </xf>
    <xf numFmtId="165" fontId="2" fillId="0" borderId="86" xfId="0" applyNumberFormat="1" applyFont="1" applyBorder="1" applyAlignment="1">
      <alignment horizontal="left" vertical="center" wrapText="1"/>
    </xf>
    <xf numFmtId="165" fontId="3" fillId="4" borderId="83" xfId="0" applyNumberFormat="1" applyFont="1" applyFill="1" applyBorder="1" applyAlignment="1">
      <alignment horizontal="left" vertical="center" wrapText="1"/>
    </xf>
    <xf numFmtId="2" fontId="2" fillId="0" borderId="87" xfId="0" applyNumberFormat="1" applyFont="1" applyBorder="1" applyAlignment="1">
      <alignment horizontal="left" vertical="center" wrapText="1"/>
    </xf>
    <xf numFmtId="0" fontId="13" fillId="0" borderId="88" xfId="0" applyFont="1" applyBorder="1" applyAlignment="1">
      <alignment horizontal="left" vertical="center" wrapText="1"/>
    </xf>
    <xf numFmtId="0" fontId="13" fillId="0" borderId="89" xfId="0" applyFont="1" applyBorder="1" applyAlignment="1">
      <alignment horizontal="left" vertical="center" wrapText="1"/>
    </xf>
    <xf numFmtId="0" fontId="0" fillId="0" borderId="0" xfId="0"/>
    <xf numFmtId="0" fontId="17" fillId="22" borderId="6" xfId="0" applyFont="1" applyFill="1" applyBorder="1" applyAlignment="1">
      <alignment horizontal="center" vertical="center" wrapText="1"/>
    </xf>
    <xf numFmtId="0" fontId="17" fillId="22" borderId="7" xfId="0" applyFont="1" applyFill="1" applyBorder="1" applyAlignment="1">
      <alignment horizontal="left" vertical="center" wrapText="1"/>
    </xf>
    <xf numFmtId="0" fontId="13" fillId="22" borderId="7" xfId="0" applyFont="1" applyFill="1" applyBorder="1" applyAlignment="1">
      <alignment horizontal="center" vertical="center" wrapText="1"/>
    </xf>
    <xf numFmtId="169" fontId="17" fillId="22" borderId="7" xfId="0" applyNumberFormat="1" applyFont="1" applyFill="1" applyBorder="1" applyAlignment="1">
      <alignment horizontal="center" vertical="center" wrapText="1"/>
    </xf>
    <xf numFmtId="0" fontId="13" fillId="22" borderId="7" xfId="0" applyFont="1" applyFill="1" applyBorder="1" applyAlignment="1">
      <alignment horizontal="left" vertical="center" wrapText="1"/>
    </xf>
    <xf numFmtId="49" fontId="17" fillId="19" borderId="6" xfId="0" applyNumberFormat="1" applyFont="1" applyFill="1" applyBorder="1" applyAlignment="1">
      <alignment horizontal="center" vertical="center" wrapText="1"/>
    </xf>
    <xf numFmtId="0" fontId="13" fillId="19" borderId="7" xfId="0" applyFont="1" applyFill="1" applyBorder="1" applyAlignment="1">
      <alignment horizontal="left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17" fillId="2" borderId="6" xfId="0" applyNumberFormat="1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left" vertical="center" wrapText="1"/>
    </xf>
    <xf numFmtId="10" fontId="13" fillId="2" borderId="7" xfId="0" applyNumberFormat="1" applyFont="1" applyFill="1" applyBorder="1" applyAlignment="1">
      <alignment horizontal="center" vertical="center" wrapText="1"/>
    </xf>
    <xf numFmtId="169" fontId="15" fillId="2" borderId="7" xfId="0" applyNumberFormat="1" applyFont="1" applyFill="1" applyBorder="1" applyAlignment="1">
      <alignment horizontal="center" vertical="center" wrapText="1"/>
    </xf>
    <xf numFmtId="169" fontId="17" fillId="2" borderId="7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center" wrapText="1"/>
    </xf>
    <xf numFmtId="49" fontId="17" fillId="17" borderId="15" xfId="0" applyNumberFormat="1" applyFont="1" applyFill="1" applyBorder="1" applyAlignment="1">
      <alignment horizontal="center" vertical="center" wrapText="1"/>
    </xf>
    <xf numFmtId="0" fontId="17" fillId="17" borderId="7" xfId="0" applyFont="1" applyFill="1" applyBorder="1" applyAlignment="1">
      <alignment horizontal="left" vertical="center" wrapText="1"/>
    </xf>
    <xf numFmtId="10" fontId="13" fillId="17" borderId="16" xfId="0" applyNumberFormat="1" applyFont="1" applyFill="1" applyBorder="1" applyAlignment="1">
      <alignment horizontal="center" vertical="center" wrapText="1"/>
    </xf>
    <xf numFmtId="169" fontId="15" fillId="17" borderId="19" xfId="0" applyNumberFormat="1" applyFont="1" applyFill="1" applyBorder="1" applyAlignment="1">
      <alignment horizontal="center" vertical="center" wrapText="1"/>
    </xf>
    <xf numFmtId="169" fontId="17" fillId="17" borderId="19" xfId="0" applyNumberFormat="1" applyFont="1" applyFill="1" applyBorder="1" applyAlignment="1">
      <alignment horizontal="center" vertical="center" wrapText="1"/>
    </xf>
    <xf numFmtId="0" fontId="13" fillId="17" borderId="19" xfId="0" applyFont="1" applyFill="1" applyBorder="1" applyAlignment="1">
      <alignment horizontal="left" vertical="center" wrapText="1"/>
    </xf>
    <xf numFmtId="49" fontId="17" fillId="17" borderId="1" xfId="0" applyNumberFormat="1" applyFont="1" applyFill="1" applyBorder="1" applyAlignment="1">
      <alignment horizontal="center" vertical="center" wrapText="1"/>
    </xf>
    <xf numFmtId="169" fontId="15" fillId="17" borderId="1" xfId="0" applyNumberFormat="1" applyFont="1" applyFill="1" applyBorder="1" applyAlignment="1">
      <alignment horizontal="center" vertical="center" wrapText="1"/>
    </xf>
    <xf numFmtId="169" fontId="18" fillId="17" borderId="1" xfId="0" applyNumberFormat="1" applyFont="1" applyFill="1" applyBorder="1" applyAlignment="1">
      <alignment horizontal="center" vertical="center" wrapText="1"/>
    </xf>
    <xf numFmtId="164" fontId="13" fillId="17" borderId="1" xfId="0" applyNumberFormat="1" applyFont="1" applyFill="1" applyBorder="1" applyAlignment="1">
      <alignment vertical="center"/>
    </xf>
    <xf numFmtId="0" fontId="13" fillId="17" borderId="1" xfId="0" applyFont="1" applyFill="1" applyBorder="1" applyAlignment="1">
      <alignment vertical="center"/>
    </xf>
    <xf numFmtId="10" fontId="13" fillId="17" borderId="7" xfId="0" applyNumberFormat="1" applyFont="1" applyFill="1" applyBorder="1" applyAlignment="1">
      <alignment horizontal="center" vertical="center" wrapText="1"/>
    </xf>
    <xf numFmtId="169" fontId="13" fillId="17" borderId="7" xfId="0" applyNumberFormat="1" applyFont="1" applyFill="1" applyBorder="1" applyAlignment="1">
      <alignment horizontal="left" vertical="center" wrapText="1"/>
    </xf>
    <xf numFmtId="49" fontId="17" fillId="2" borderId="15" xfId="0" applyNumberFormat="1" applyFont="1" applyFill="1" applyBorder="1" applyAlignment="1">
      <alignment horizontal="center" vertical="center" wrapText="1"/>
    </xf>
    <xf numFmtId="169" fontId="13" fillId="2" borderId="7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1" fillId="23" borderId="1" xfId="0" applyFont="1" applyFill="1" applyBorder="1" applyAlignment="1">
      <alignment horizontal="left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49" fontId="3" fillId="17" borderId="1" xfId="0" applyNumberFormat="1" applyFont="1" applyFill="1" applyBorder="1" applyAlignment="1">
      <alignment horizontal="center" vertical="center" wrapText="1"/>
    </xf>
    <xf numFmtId="0" fontId="31" fillId="21" borderId="1" xfId="0" applyFont="1" applyFill="1" applyBorder="1" applyAlignment="1">
      <alignment horizontal="left" vertical="center" wrapText="1"/>
    </xf>
    <xf numFmtId="4" fontId="32" fillId="21" borderId="1" xfId="0" applyNumberFormat="1" applyFont="1" applyFill="1" applyBorder="1" applyAlignment="1">
      <alignment horizontal="center" vertical="center" wrapText="1"/>
    </xf>
    <xf numFmtId="168" fontId="33" fillId="21" borderId="1" xfId="0" applyNumberFormat="1" applyFont="1" applyFill="1" applyBorder="1" applyAlignment="1">
      <alignment horizontal="center" vertical="center" wrapText="1"/>
    </xf>
    <xf numFmtId="165" fontId="2" fillId="17" borderId="1" xfId="0" applyNumberFormat="1" applyFont="1" applyFill="1" applyBorder="1" applyAlignment="1">
      <alignment horizontal="left" vertical="center" wrapText="1"/>
    </xf>
    <xf numFmtId="49" fontId="3" fillId="22" borderId="1" xfId="0" applyNumberFormat="1" applyFont="1" applyFill="1" applyBorder="1" applyAlignment="1">
      <alignment horizontal="center" vertical="center" wrapText="1"/>
    </xf>
    <xf numFmtId="0" fontId="31" fillId="24" borderId="1" xfId="0" applyFont="1" applyFill="1" applyBorder="1" applyAlignment="1">
      <alignment horizontal="left" vertical="center" wrapText="1"/>
    </xf>
    <xf numFmtId="4" fontId="32" fillId="24" borderId="1" xfId="0" applyNumberFormat="1" applyFont="1" applyFill="1" applyBorder="1" applyAlignment="1">
      <alignment horizontal="center" vertical="center" wrapText="1"/>
    </xf>
    <xf numFmtId="165" fontId="6" fillId="22" borderId="1" xfId="0" applyNumberFormat="1" applyFont="1" applyFill="1" applyBorder="1" applyAlignment="1">
      <alignment horizontal="center" vertical="center" wrapText="1"/>
    </xf>
    <xf numFmtId="165" fontId="2" fillId="22" borderId="1" xfId="0" applyNumberFormat="1" applyFont="1" applyFill="1" applyBorder="1" applyAlignment="1">
      <alignment horizontal="left" vertical="center" wrapText="1"/>
    </xf>
    <xf numFmtId="165" fontId="2" fillId="22" borderId="1" xfId="0" applyNumberFormat="1" applyFont="1" applyFill="1" applyBorder="1" applyAlignment="1">
      <alignment horizontal="center" vertical="center" wrapText="1"/>
    </xf>
    <xf numFmtId="49" fontId="3" fillId="19" borderId="1" xfId="0" applyNumberFormat="1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left" vertical="center" wrapText="1"/>
    </xf>
    <xf numFmtId="4" fontId="32" fillId="25" borderId="1" xfId="0" applyNumberFormat="1" applyFont="1" applyFill="1" applyBorder="1" applyAlignment="1">
      <alignment horizontal="center" vertical="center" wrapText="1"/>
    </xf>
    <xf numFmtId="168" fontId="33" fillId="25" borderId="1" xfId="0" applyNumberFormat="1" applyFont="1" applyFill="1" applyBorder="1" applyAlignment="1">
      <alignment horizontal="center" vertical="center" wrapText="1"/>
    </xf>
    <xf numFmtId="165" fontId="2" fillId="19" borderId="1" xfId="0" applyNumberFormat="1" applyFont="1" applyFill="1" applyBorder="1" applyAlignment="1">
      <alignment horizontal="left" vertical="center" wrapText="1"/>
    </xf>
    <xf numFmtId="165" fontId="2" fillId="19" borderId="1" xfId="0" applyNumberFormat="1" applyFont="1" applyFill="1" applyBorder="1" applyAlignment="1">
      <alignment horizontal="center" vertical="center" wrapText="1"/>
    </xf>
    <xf numFmtId="49" fontId="3" fillId="26" borderId="1" xfId="0" applyNumberFormat="1" applyFont="1" applyFill="1" applyBorder="1" applyAlignment="1">
      <alignment horizontal="center" vertical="center" wrapText="1"/>
    </xf>
    <xf numFmtId="0" fontId="31" fillId="27" borderId="1" xfId="0" applyFont="1" applyFill="1" applyBorder="1" applyAlignment="1">
      <alignment horizontal="left" vertical="center" wrapText="1"/>
    </xf>
    <xf numFmtId="4" fontId="32" fillId="27" borderId="1" xfId="0" applyNumberFormat="1" applyFont="1" applyFill="1" applyBorder="1" applyAlignment="1">
      <alignment horizontal="center" vertical="center" wrapText="1"/>
    </xf>
    <xf numFmtId="168" fontId="4" fillId="27" borderId="1" xfId="0" applyNumberFormat="1" applyFont="1" applyFill="1" applyBorder="1" applyAlignment="1">
      <alignment horizontal="center" vertical="center" wrapText="1"/>
    </xf>
    <xf numFmtId="165" fontId="2" fillId="26" borderId="1" xfId="0" applyNumberFormat="1" applyFont="1" applyFill="1" applyBorder="1" applyAlignment="1">
      <alignment horizontal="left" vertical="center" wrapText="1"/>
    </xf>
    <xf numFmtId="165" fontId="2" fillId="26" borderId="1" xfId="0" applyNumberFormat="1" applyFont="1" applyFill="1" applyBorder="1" applyAlignment="1">
      <alignment horizontal="center" vertical="center" wrapText="1"/>
    </xf>
    <xf numFmtId="49" fontId="3" fillId="28" borderId="1" xfId="0" applyNumberFormat="1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left" vertical="center" wrapText="1"/>
    </xf>
    <xf numFmtId="4" fontId="32" fillId="29" borderId="1" xfId="0" applyNumberFormat="1" applyFont="1" applyFill="1" applyBorder="1" applyAlignment="1">
      <alignment horizontal="center" vertical="center" wrapText="1"/>
    </xf>
    <xf numFmtId="168" fontId="33" fillId="29" borderId="1" xfId="0" applyNumberFormat="1" applyFont="1" applyFill="1" applyBorder="1" applyAlignment="1">
      <alignment horizontal="center" vertical="center" wrapText="1"/>
    </xf>
    <xf numFmtId="165" fontId="2" fillId="28" borderId="1" xfId="0" applyNumberFormat="1" applyFont="1" applyFill="1" applyBorder="1" applyAlignment="1">
      <alignment horizontal="left" vertical="center" wrapText="1"/>
    </xf>
    <xf numFmtId="1" fontId="3" fillId="30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left" vertical="center" wrapText="1"/>
    </xf>
    <xf numFmtId="4" fontId="32" fillId="31" borderId="1" xfId="0" applyNumberFormat="1" applyFont="1" applyFill="1" applyBorder="1" applyAlignment="1">
      <alignment horizontal="center" vertical="center" wrapText="1"/>
    </xf>
    <xf numFmtId="165" fontId="6" fillId="30" borderId="1" xfId="0" applyNumberFormat="1" applyFont="1" applyFill="1" applyBorder="1" applyAlignment="1">
      <alignment horizontal="center" vertical="center" wrapText="1"/>
    </xf>
    <xf numFmtId="165" fontId="3" fillId="30" borderId="1" xfId="0" applyNumberFormat="1" applyFont="1" applyFill="1" applyBorder="1" applyAlignment="1">
      <alignment horizontal="center" vertical="center" wrapText="1"/>
    </xf>
    <xf numFmtId="165" fontId="2" fillId="30" borderId="1" xfId="0" applyNumberFormat="1" applyFont="1" applyFill="1" applyBorder="1" applyAlignment="1">
      <alignment horizontal="center" vertical="center" wrapText="1"/>
    </xf>
    <xf numFmtId="49" fontId="3" fillId="10" borderId="43" xfId="0" applyNumberFormat="1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left" vertical="center" wrapText="1"/>
    </xf>
    <xf numFmtId="4" fontId="32" fillId="32" borderId="1" xfId="0" applyNumberFormat="1" applyFont="1" applyFill="1" applyBorder="1" applyAlignment="1">
      <alignment horizontal="center" vertical="center" wrapText="1"/>
    </xf>
    <xf numFmtId="168" fontId="33" fillId="32" borderId="1" xfId="0" applyNumberFormat="1" applyFont="1" applyFill="1" applyBorder="1" applyAlignment="1">
      <alignment horizontal="center" vertical="center" wrapText="1"/>
    </xf>
    <xf numFmtId="165" fontId="3" fillId="10" borderId="1" xfId="0" applyNumberFormat="1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left" vertical="center" wrapText="1"/>
    </xf>
    <xf numFmtId="4" fontId="32" fillId="34" borderId="1" xfId="0" applyNumberFormat="1" applyFont="1" applyFill="1" applyBorder="1" applyAlignment="1">
      <alignment horizontal="center" vertical="center" wrapText="1"/>
    </xf>
    <xf numFmtId="165" fontId="6" fillId="33" borderId="1" xfId="0" applyNumberFormat="1" applyFont="1" applyFill="1" applyBorder="1" applyAlignment="1">
      <alignment horizontal="center" vertical="center" wrapText="1"/>
    </xf>
    <xf numFmtId="165" fontId="3" fillId="33" borderId="1" xfId="0" applyNumberFormat="1" applyFont="1" applyFill="1" applyBorder="1" applyAlignment="1">
      <alignment horizontal="center" vertical="center" wrapText="1"/>
    </xf>
    <xf numFmtId="165" fontId="2" fillId="33" borderId="1" xfId="0" applyNumberFormat="1" applyFont="1" applyFill="1" applyBorder="1" applyAlignment="1">
      <alignment horizontal="center" vertical="center" wrapText="1"/>
    </xf>
    <xf numFmtId="49" fontId="3" fillId="35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left" vertical="center" wrapText="1"/>
    </xf>
    <xf numFmtId="4" fontId="32" fillId="36" borderId="1" xfId="0" applyNumberFormat="1" applyFont="1" applyFill="1" applyBorder="1" applyAlignment="1">
      <alignment horizontal="center" vertical="center" wrapText="1"/>
    </xf>
    <xf numFmtId="168" fontId="33" fillId="36" borderId="1" xfId="0" applyNumberFormat="1" applyFont="1" applyFill="1" applyBorder="1" applyAlignment="1">
      <alignment horizontal="center" vertical="center" wrapText="1"/>
    </xf>
    <xf numFmtId="165" fontId="3" fillId="35" borderId="1" xfId="0" applyNumberFormat="1" applyFont="1" applyFill="1" applyBorder="1" applyAlignment="1">
      <alignment horizontal="center" vertical="center" wrapText="1"/>
    </xf>
    <xf numFmtId="165" fontId="2" fillId="35" borderId="1" xfId="0" applyNumberFormat="1" applyFont="1" applyFill="1" applyBorder="1" applyAlignment="1">
      <alignment horizontal="center" vertical="center" wrapText="1"/>
    </xf>
    <xf numFmtId="49" fontId="3" fillId="37" borderId="1" xfId="0" applyNumberFormat="1" applyFont="1" applyFill="1" applyBorder="1" applyAlignment="1">
      <alignment horizontal="center" vertical="center" wrapText="1"/>
    </xf>
    <xf numFmtId="0" fontId="34" fillId="37" borderId="1" xfId="0" applyFont="1" applyFill="1" applyBorder="1" applyAlignment="1">
      <alignment horizontal="left" vertical="center" wrapText="1"/>
    </xf>
    <xf numFmtId="10" fontId="31" fillId="37" borderId="1" xfId="0" applyNumberFormat="1" applyFont="1" applyFill="1" applyBorder="1" applyAlignment="1">
      <alignment horizontal="center" vertical="center"/>
    </xf>
    <xf numFmtId="168" fontId="34" fillId="37" borderId="1" xfId="0" applyNumberFormat="1" applyFont="1" applyFill="1" applyBorder="1" applyAlignment="1">
      <alignment horizontal="center" vertical="center" wrapText="1"/>
    </xf>
    <xf numFmtId="165" fontId="2" fillId="37" borderId="1" xfId="0" applyNumberFormat="1" applyFont="1" applyFill="1" applyBorder="1" applyAlignment="1">
      <alignment horizontal="left" vertical="center" wrapText="1"/>
    </xf>
    <xf numFmtId="165" fontId="2" fillId="37" borderId="1" xfId="0" applyNumberFormat="1" applyFont="1" applyFill="1" applyBorder="1" applyAlignment="1">
      <alignment horizontal="center" vertical="center" wrapText="1"/>
    </xf>
    <xf numFmtId="49" fontId="3" fillId="38" borderId="1" xfId="0" applyNumberFormat="1" applyFont="1" applyFill="1" applyBorder="1" applyAlignment="1">
      <alignment horizontal="center" vertical="center" wrapText="1"/>
    </xf>
    <xf numFmtId="0" fontId="31" fillId="38" borderId="1" xfId="0" applyFont="1" applyFill="1" applyBorder="1" applyAlignment="1">
      <alignment horizontal="left" vertical="center" wrapText="1"/>
    </xf>
    <xf numFmtId="10" fontId="31" fillId="38" borderId="1" xfId="0" applyNumberFormat="1" applyFont="1" applyFill="1" applyBorder="1" applyAlignment="1">
      <alignment horizontal="center" vertical="center"/>
    </xf>
    <xf numFmtId="168" fontId="31" fillId="38" borderId="1" xfId="0" applyNumberFormat="1" applyFont="1" applyFill="1" applyBorder="1" applyAlignment="1">
      <alignment horizontal="center" vertical="center" wrapText="1"/>
    </xf>
    <xf numFmtId="165" fontId="2" fillId="38" borderId="1" xfId="0" applyNumberFormat="1" applyFont="1" applyFill="1" applyBorder="1" applyAlignment="1">
      <alignment horizontal="left" vertical="center" wrapText="1"/>
    </xf>
    <xf numFmtId="165" fontId="2" fillId="38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left" vertical="center" wrapText="1"/>
    </xf>
    <xf numFmtId="10" fontId="31" fillId="39" borderId="1" xfId="0" applyNumberFormat="1" applyFont="1" applyFill="1" applyBorder="1" applyAlignment="1">
      <alignment horizontal="center" vertical="center"/>
    </xf>
    <xf numFmtId="168" fontId="33" fillId="39" borderId="1" xfId="0" applyNumberFormat="1" applyFont="1" applyFill="1" applyBorder="1" applyAlignment="1">
      <alignment horizontal="center" vertical="center" wrapText="1"/>
    </xf>
    <xf numFmtId="165" fontId="3" fillId="38" borderId="1" xfId="0" applyNumberFormat="1" applyFont="1" applyFill="1" applyBorder="1" applyAlignment="1">
      <alignment horizontal="center" vertical="center" wrapText="1"/>
    </xf>
    <xf numFmtId="165" fontId="4" fillId="38" borderId="1" xfId="0" applyNumberFormat="1" applyFont="1" applyFill="1" applyBorder="1" applyAlignment="1">
      <alignment horizontal="center" vertical="center" wrapText="1"/>
    </xf>
    <xf numFmtId="0" fontId="34" fillId="40" borderId="1" xfId="0" applyFont="1" applyFill="1" applyBorder="1" applyAlignment="1">
      <alignment horizontal="right" vertical="center" wrapText="1"/>
    </xf>
    <xf numFmtId="10" fontId="34" fillId="40" borderId="1" xfId="0" applyNumberFormat="1" applyFont="1" applyFill="1" applyBorder="1" applyAlignment="1">
      <alignment horizontal="center" vertical="center"/>
    </xf>
    <xf numFmtId="168" fontId="32" fillId="40" borderId="1" xfId="0" applyNumberFormat="1" applyFont="1" applyFill="1" applyBorder="1" applyAlignment="1">
      <alignment horizontal="center" vertical="center" wrapText="1"/>
    </xf>
    <xf numFmtId="165" fontId="4" fillId="37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34" fillId="41" borderId="1" xfId="0" applyFont="1" applyFill="1" applyBorder="1" applyAlignment="1">
      <alignment horizontal="right" vertical="center" wrapText="1"/>
    </xf>
    <xf numFmtId="9" fontId="34" fillId="41" borderId="1" xfId="2" applyNumberFormat="1" applyFont="1" applyFill="1" applyBorder="1" applyAlignment="1">
      <alignment horizontal="center" vertical="center"/>
    </xf>
    <xf numFmtId="168" fontId="35" fillId="41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left" vertical="center" wrapText="1"/>
    </xf>
    <xf numFmtId="10" fontId="15" fillId="0" borderId="46" xfId="0" applyNumberFormat="1" applyFont="1" applyBorder="1" applyAlignment="1">
      <alignment horizontal="center" vertical="center" wrapText="1"/>
    </xf>
    <xf numFmtId="165" fontId="0" fillId="33" borderId="1" xfId="0" applyNumberFormat="1" applyFill="1" applyBorder="1" applyAlignment="1">
      <alignment horizontal="center" vertical="center" wrapText="1"/>
    </xf>
    <xf numFmtId="49" fontId="3" fillId="30" borderId="1" xfId="0" applyNumberFormat="1" applyFont="1" applyFill="1" applyBorder="1" applyAlignment="1">
      <alignment horizontal="center" vertical="center" wrapText="1"/>
    </xf>
    <xf numFmtId="165" fontId="2" fillId="30" borderId="1" xfId="0" applyNumberFormat="1" applyFont="1" applyFill="1" applyBorder="1" applyAlignment="1">
      <alignment horizontal="left" vertical="center" wrapText="1"/>
    </xf>
    <xf numFmtId="165" fontId="2" fillId="10" borderId="1" xfId="0" applyNumberFormat="1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9" fillId="0" borderId="7" xfId="0" applyFont="1" applyBorder="1" applyAlignment="1">
      <alignment horizontal="left" vertical="center" wrapText="1"/>
    </xf>
    <xf numFmtId="0" fontId="17" fillId="4" borderId="19" xfId="0" applyFont="1" applyFill="1" applyBorder="1" applyAlignment="1">
      <alignment horizontal="left" vertical="center" wrapText="1"/>
    </xf>
    <xf numFmtId="168" fontId="15" fillId="0" borderId="4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vertical="center" wrapText="1"/>
    </xf>
    <xf numFmtId="164" fontId="2" fillId="9" borderId="0" xfId="0" applyNumberFormat="1" applyFont="1" applyFill="1" applyAlignment="1">
      <alignment vertical="center"/>
    </xf>
    <xf numFmtId="2" fontId="2" fillId="0" borderId="83" xfId="0" applyNumberFormat="1" applyFont="1" applyBorder="1" applyAlignment="1">
      <alignment horizontal="left" vertical="center" wrapText="1"/>
    </xf>
    <xf numFmtId="2" fontId="2" fillId="0" borderId="92" xfId="0" applyNumberFormat="1" applyFont="1" applyBorder="1" applyAlignment="1">
      <alignment horizontal="left" vertical="center" wrapText="1"/>
    </xf>
    <xf numFmtId="165" fontId="3" fillId="4" borderId="93" xfId="0" applyNumberFormat="1" applyFont="1" applyFill="1" applyBorder="1" applyAlignment="1">
      <alignment horizontal="left" vertical="center" wrapText="1"/>
    </xf>
    <xf numFmtId="165" fontId="3" fillId="9" borderId="9" xfId="0" applyNumberFormat="1" applyFont="1" applyFill="1" applyBorder="1" applyAlignment="1">
      <alignment horizontal="left" vertical="center" wrapText="1"/>
    </xf>
    <xf numFmtId="164" fontId="2" fillId="9" borderId="0" xfId="0" applyNumberFormat="1" applyFont="1" applyFill="1" applyAlignment="1">
      <alignment vertical="center" wrapText="1"/>
    </xf>
    <xf numFmtId="2" fontId="2" fillId="9" borderId="9" xfId="0" applyNumberFormat="1" applyFont="1" applyFill="1" applyBorder="1" applyAlignment="1">
      <alignment horizontal="left" vertical="center" wrapText="1"/>
    </xf>
    <xf numFmtId="2" fontId="2" fillId="0" borderId="93" xfId="0" applyNumberFormat="1" applyFont="1" applyBorder="1" applyAlignment="1">
      <alignment horizontal="left" vertical="center" wrapText="1"/>
    </xf>
    <xf numFmtId="165" fontId="8" fillId="4" borderId="93" xfId="0" applyNumberFormat="1" applyFont="1" applyFill="1" applyBorder="1" applyAlignment="1">
      <alignment horizontal="left" vertical="center" wrapText="1"/>
    </xf>
    <xf numFmtId="165" fontId="8" fillId="4" borderId="92" xfId="0" applyNumberFormat="1" applyFont="1" applyFill="1" applyBorder="1" applyAlignment="1">
      <alignment horizontal="left" vertical="center" wrapText="1"/>
    </xf>
    <xf numFmtId="165" fontId="8" fillId="9" borderId="9" xfId="0" applyNumberFormat="1" applyFont="1" applyFill="1" applyBorder="1" applyAlignment="1">
      <alignment horizontal="left" vertical="center" wrapText="1"/>
    </xf>
    <xf numFmtId="165" fontId="6" fillId="2" borderId="38" xfId="0" applyNumberFormat="1" applyFont="1" applyFill="1" applyBorder="1" applyAlignment="1">
      <alignment horizontal="center" vertical="center" wrapText="1"/>
    </xf>
    <xf numFmtId="165" fontId="2" fillId="17" borderId="38" xfId="0" applyNumberFormat="1" applyFont="1" applyFill="1" applyBorder="1" applyAlignment="1">
      <alignment horizontal="center" vertical="center" wrapText="1"/>
    </xf>
    <xf numFmtId="165" fontId="2" fillId="22" borderId="38" xfId="0" applyNumberFormat="1" applyFont="1" applyFill="1" applyBorder="1" applyAlignment="1">
      <alignment horizontal="center" vertical="center" wrapText="1"/>
    </xf>
    <xf numFmtId="165" fontId="2" fillId="38" borderId="1" xfId="0" applyNumberFormat="1" applyFont="1" applyFill="1" applyBorder="1" applyAlignment="1">
      <alignment horizontal="left" vertical="top" wrapText="1"/>
    </xf>
    <xf numFmtId="0" fontId="34" fillId="39" borderId="1" xfId="0" applyFont="1" applyFill="1" applyBorder="1" applyAlignment="1">
      <alignment horizontal="left" vertical="center" wrapText="1"/>
    </xf>
    <xf numFmtId="2" fontId="2" fillId="0" borderId="13" xfId="0" applyNumberFormat="1" applyFont="1" applyBorder="1" applyAlignment="1">
      <alignment horizontal="left" vertical="center" wrapText="1"/>
    </xf>
    <xf numFmtId="165" fontId="8" fillId="4" borderId="9" xfId="0" applyNumberFormat="1" applyFont="1" applyFill="1" applyBorder="1" applyAlignment="1">
      <alignment horizontal="left" vertical="center" wrapText="1"/>
    </xf>
    <xf numFmtId="165" fontId="6" fillId="2" borderId="81" xfId="0" applyNumberFormat="1" applyFont="1" applyFill="1" applyBorder="1" applyAlignment="1">
      <alignment horizontal="center" vertical="center" wrapText="1"/>
    </xf>
    <xf numFmtId="165" fontId="2" fillId="17" borderId="81" xfId="0" applyNumberFormat="1" applyFont="1" applyFill="1" applyBorder="1" applyAlignment="1">
      <alignment horizontal="center" vertical="center" wrapText="1"/>
    </xf>
    <xf numFmtId="165" fontId="2" fillId="22" borderId="81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165" fontId="31" fillId="17" borderId="1" xfId="0" applyNumberFormat="1" applyFont="1" applyFill="1" applyBorder="1" applyAlignment="1">
      <alignment horizontal="left" vertical="center" wrapText="1"/>
    </xf>
    <xf numFmtId="165" fontId="31" fillId="17" borderId="1" xfId="0" applyNumberFormat="1" applyFont="1" applyFill="1" applyBorder="1" applyAlignment="1">
      <alignment horizontal="center" vertical="center" wrapText="1"/>
    </xf>
    <xf numFmtId="49" fontId="3" fillId="19" borderId="43" xfId="0" applyNumberFormat="1" applyFont="1" applyFill="1" applyBorder="1" applyAlignment="1">
      <alignment horizontal="center" vertical="center" wrapText="1"/>
    </xf>
    <xf numFmtId="168" fontId="41" fillId="25" borderId="1" xfId="0" applyNumberFormat="1" applyFont="1" applyFill="1" applyBorder="1" applyAlignment="1">
      <alignment horizontal="center" vertical="center" wrapText="1"/>
    </xf>
    <xf numFmtId="170" fontId="13" fillId="0" borderId="0" xfId="0" applyNumberFormat="1" applyFont="1" applyAlignment="1">
      <alignment vertical="center"/>
    </xf>
    <xf numFmtId="0" fontId="41" fillId="38" borderId="1" xfId="0" applyFont="1" applyFill="1" applyBorder="1" applyAlignment="1">
      <alignment horizontal="left" vertical="center" wrapText="1"/>
    </xf>
    <xf numFmtId="0" fontId="34" fillId="31" borderId="1" xfId="0" applyFont="1" applyFill="1" applyBorder="1" applyAlignment="1">
      <alignment horizontal="left" vertical="center" wrapText="1"/>
    </xf>
    <xf numFmtId="170" fontId="15" fillId="0" borderId="41" xfId="0" applyNumberFormat="1" applyFont="1" applyBorder="1" applyAlignment="1">
      <alignment horizontal="center" vertical="center"/>
    </xf>
    <xf numFmtId="165" fontId="4" fillId="33" borderId="1" xfId="0" applyNumberFormat="1" applyFont="1" applyFill="1" applyBorder="1" applyAlignment="1">
      <alignment horizontal="center" vertical="center" wrapText="1"/>
    </xf>
    <xf numFmtId="49" fontId="3" fillId="42" borderId="1" xfId="0" applyNumberFormat="1" applyFont="1" applyFill="1" applyBorder="1" applyAlignment="1">
      <alignment horizontal="center" vertical="center" wrapText="1"/>
    </xf>
    <xf numFmtId="0" fontId="34" fillId="43" borderId="1" xfId="0" applyFont="1" applyFill="1" applyBorder="1" applyAlignment="1">
      <alignment horizontal="left" vertical="center" wrapText="1"/>
    </xf>
    <xf numFmtId="10" fontId="34" fillId="43" borderId="1" xfId="0" applyNumberFormat="1" applyFont="1" applyFill="1" applyBorder="1" applyAlignment="1">
      <alignment horizontal="center" vertical="center"/>
    </xf>
    <xf numFmtId="168" fontId="32" fillId="43" borderId="1" xfId="0" applyNumberFormat="1" applyFont="1" applyFill="1" applyBorder="1" applyAlignment="1">
      <alignment horizontal="center" vertical="center" wrapText="1"/>
    </xf>
    <xf numFmtId="165" fontId="4" fillId="42" borderId="1" xfId="0" applyNumberFormat="1" applyFont="1" applyFill="1" applyBorder="1" applyAlignment="1">
      <alignment horizontal="center" vertical="center" wrapText="1"/>
    </xf>
    <xf numFmtId="165" fontId="2" fillId="42" borderId="1" xfId="0" applyNumberFormat="1" applyFont="1" applyFill="1" applyBorder="1" applyAlignment="1">
      <alignment horizontal="left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left" vertical="center" wrapText="1"/>
    </xf>
    <xf numFmtId="0" fontId="43" fillId="0" borderId="7" xfId="0" applyFont="1" applyBorder="1" applyAlignment="1">
      <alignment horizontal="center" vertical="center" wrapText="1"/>
    </xf>
    <xf numFmtId="169" fontId="33" fillId="0" borderId="7" xfId="0" applyNumberFormat="1" applyFont="1" applyBorder="1" applyAlignment="1">
      <alignment horizontal="center" vertical="center" wrapText="1"/>
    </xf>
    <xf numFmtId="0" fontId="43" fillId="0" borderId="7" xfId="0" applyFont="1" applyBorder="1" applyAlignment="1">
      <alignment horizontal="left" vertical="center" wrapText="1"/>
    </xf>
    <xf numFmtId="0" fontId="33" fillId="22" borderId="6" xfId="0" applyFont="1" applyFill="1" applyBorder="1" applyAlignment="1">
      <alignment horizontal="center" vertical="center" wrapText="1"/>
    </xf>
    <xf numFmtId="0" fontId="33" fillId="22" borderId="7" xfId="0" applyFont="1" applyFill="1" applyBorder="1" applyAlignment="1">
      <alignment horizontal="left" vertical="center" wrapText="1"/>
    </xf>
    <xf numFmtId="0" fontId="43" fillId="22" borderId="7" xfId="0" applyFont="1" applyFill="1" applyBorder="1" applyAlignment="1">
      <alignment horizontal="center" vertical="center" wrapText="1"/>
    </xf>
    <xf numFmtId="169" fontId="33" fillId="22" borderId="7" xfId="0" applyNumberFormat="1" applyFont="1" applyFill="1" applyBorder="1" applyAlignment="1">
      <alignment horizontal="center" vertical="center" wrapText="1"/>
    </xf>
    <xf numFmtId="0" fontId="43" fillId="22" borderId="7" xfId="0" applyFont="1" applyFill="1" applyBorder="1" applyAlignment="1">
      <alignment horizontal="left" vertical="center" wrapText="1"/>
    </xf>
    <xf numFmtId="49" fontId="33" fillId="19" borderId="6" xfId="0" applyNumberFormat="1" applyFont="1" applyFill="1" applyBorder="1" applyAlignment="1">
      <alignment horizontal="center" vertical="center" wrapText="1"/>
    </xf>
    <xf numFmtId="0" fontId="33" fillId="19" borderId="7" xfId="0" applyFont="1" applyFill="1" applyBorder="1" applyAlignment="1">
      <alignment horizontal="left" vertical="center" wrapText="1"/>
    </xf>
    <xf numFmtId="0" fontId="43" fillId="19" borderId="7" xfId="0" applyFont="1" applyFill="1" applyBorder="1" applyAlignment="1">
      <alignment horizontal="center" vertical="center" wrapText="1"/>
    </xf>
    <xf numFmtId="169" fontId="33" fillId="19" borderId="7" xfId="0" applyNumberFormat="1" applyFont="1" applyFill="1" applyBorder="1" applyAlignment="1">
      <alignment horizontal="center" vertical="center" wrapText="1"/>
    </xf>
    <xf numFmtId="0" fontId="43" fillId="19" borderId="7" xfId="0" applyFont="1" applyFill="1" applyBorder="1" applyAlignment="1">
      <alignment horizontal="left" vertical="center" wrapText="1"/>
    </xf>
    <xf numFmtId="168" fontId="13" fillId="0" borderId="0" xfId="0" applyNumberFormat="1" applyFont="1" applyAlignment="1">
      <alignment vertical="center" wrapText="1"/>
    </xf>
    <xf numFmtId="49" fontId="33" fillId="0" borderId="6" xfId="0" applyNumberFormat="1" applyFont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center" wrapText="1"/>
    </xf>
    <xf numFmtId="49" fontId="33" fillId="2" borderId="6" xfId="0" applyNumberFormat="1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left" vertical="center" wrapText="1"/>
    </xf>
    <xf numFmtId="10" fontId="43" fillId="2" borderId="7" xfId="0" applyNumberFormat="1" applyFont="1" applyFill="1" applyBorder="1" applyAlignment="1">
      <alignment horizontal="center" vertical="center" wrapText="1"/>
    </xf>
    <xf numFmtId="169" fontId="31" fillId="2" borderId="7" xfId="0" applyNumberFormat="1" applyFont="1" applyFill="1" applyBorder="1" applyAlignment="1">
      <alignment horizontal="center" vertical="center" wrapText="1"/>
    </xf>
    <xf numFmtId="169" fontId="33" fillId="2" borderId="7" xfId="0" applyNumberFormat="1" applyFont="1" applyFill="1" applyBorder="1" applyAlignment="1">
      <alignment horizontal="center" vertical="center" wrapText="1"/>
    </xf>
    <xf numFmtId="0" fontId="43" fillId="2" borderId="7" xfId="0" applyFont="1" applyFill="1" applyBorder="1" applyAlignment="1">
      <alignment horizontal="left" vertical="center" wrapText="1"/>
    </xf>
    <xf numFmtId="49" fontId="33" fillId="17" borderId="15" xfId="0" applyNumberFormat="1" applyFont="1" applyFill="1" applyBorder="1" applyAlignment="1">
      <alignment horizontal="center" vertical="center" wrapText="1"/>
    </xf>
    <xf numFmtId="0" fontId="33" fillId="17" borderId="7" xfId="0" applyFont="1" applyFill="1" applyBorder="1" applyAlignment="1">
      <alignment horizontal="left" vertical="center" wrapText="1"/>
    </xf>
    <xf numFmtId="10" fontId="43" fillId="17" borderId="16" xfId="0" applyNumberFormat="1" applyFont="1" applyFill="1" applyBorder="1" applyAlignment="1">
      <alignment horizontal="center" vertical="center" wrapText="1"/>
    </xf>
    <xf numFmtId="169" fontId="31" fillId="17" borderId="19" xfId="0" applyNumberFormat="1" applyFont="1" applyFill="1" applyBorder="1" applyAlignment="1">
      <alignment horizontal="center" vertical="center" wrapText="1"/>
    </xf>
    <xf numFmtId="169" fontId="33" fillId="17" borderId="19" xfId="0" applyNumberFormat="1" applyFont="1" applyFill="1" applyBorder="1" applyAlignment="1">
      <alignment horizontal="center" vertical="center" wrapText="1"/>
    </xf>
    <xf numFmtId="0" fontId="43" fillId="17" borderId="19" xfId="0" applyFont="1" applyFill="1" applyBorder="1" applyAlignment="1">
      <alignment horizontal="left" vertical="center" wrapText="1"/>
    </xf>
    <xf numFmtId="49" fontId="33" fillId="17" borderId="1" xfId="0" applyNumberFormat="1" applyFont="1" applyFill="1" applyBorder="1" applyAlignment="1">
      <alignment horizontal="center" vertical="center" wrapText="1"/>
    </xf>
    <xf numFmtId="169" fontId="31" fillId="17" borderId="1" xfId="0" applyNumberFormat="1" applyFont="1" applyFill="1" applyBorder="1" applyAlignment="1">
      <alignment horizontal="center" vertical="center" wrapText="1"/>
    </xf>
    <xf numFmtId="169" fontId="41" fillId="17" borderId="1" xfId="0" applyNumberFormat="1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left" vertical="center" wrapText="1"/>
    </xf>
    <xf numFmtId="164" fontId="43" fillId="17" borderId="1" xfId="0" applyNumberFormat="1" applyFont="1" applyFill="1" applyBorder="1" applyAlignment="1">
      <alignment vertical="center"/>
    </xf>
    <xf numFmtId="0" fontId="43" fillId="17" borderId="1" xfId="0" applyFont="1" applyFill="1" applyBorder="1" applyAlignment="1">
      <alignment vertical="center"/>
    </xf>
    <xf numFmtId="10" fontId="43" fillId="17" borderId="7" xfId="0" applyNumberFormat="1" applyFont="1" applyFill="1" applyBorder="1" applyAlignment="1">
      <alignment horizontal="center" vertical="center" wrapText="1"/>
    </xf>
    <xf numFmtId="169" fontId="33" fillId="17" borderId="7" xfId="0" applyNumberFormat="1" applyFont="1" applyFill="1" applyBorder="1" applyAlignment="1">
      <alignment horizontal="center" vertical="center" wrapText="1"/>
    </xf>
    <xf numFmtId="169" fontId="43" fillId="17" borderId="7" xfId="0" applyNumberFormat="1" applyFont="1" applyFill="1" applyBorder="1" applyAlignment="1">
      <alignment horizontal="left" vertical="center" wrapText="1"/>
    </xf>
    <xf numFmtId="0" fontId="43" fillId="17" borderId="7" xfId="0" applyFont="1" applyFill="1" applyBorder="1" applyAlignment="1">
      <alignment horizontal="left" vertical="center" wrapText="1"/>
    </xf>
    <xf numFmtId="49" fontId="33" fillId="2" borderId="15" xfId="0" applyNumberFormat="1" applyFont="1" applyFill="1" applyBorder="1" applyAlignment="1">
      <alignment horizontal="center" vertical="center" wrapText="1"/>
    </xf>
    <xf numFmtId="169" fontId="43" fillId="2" borderId="7" xfId="0" applyNumberFormat="1" applyFont="1" applyFill="1" applyBorder="1" applyAlignment="1">
      <alignment horizontal="left" vertical="center" wrapText="1"/>
    </xf>
    <xf numFmtId="10" fontId="43" fillId="0" borderId="7" xfId="0" applyNumberFormat="1" applyFont="1" applyBorder="1" applyAlignment="1">
      <alignment horizontal="center" vertical="center" wrapText="1"/>
    </xf>
    <xf numFmtId="169" fontId="43" fillId="0" borderId="7" xfId="0" applyNumberFormat="1" applyFont="1" applyBorder="1" applyAlignment="1">
      <alignment horizontal="left" vertical="center" wrapText="1"/>
    </xf>
    <xf numFmtId="0" fontId="33" fillId="4" borderId="19" xfId="0" applyFont="1" applyFill="1" applyBorder="1" applyAlignment="1">
      <alignment horizontal="left" vertical="center" wrapText="1"/>
    </xf>
    <xf numFmtId="169" fontId="44" fillId="0" borderId="7" xfId="0" applyNumberFormat="1" applyFont="1" applyBorder="1" applyAlignment="1">
      <alignment horizontal="left" vertical="center" wrapText="1"/>
    </xf>
    <xf numFmtId="0" fontId="44" fillId="0" borderId="7" xfId="0" applyFont="1" applyBorder="1" applyAlignment="1">
      <alignment horizontal="left" vertical="center" wrapText="1"/>
    </xf>
    <xf numFmtId="165" fontId="45" fillId="0" borderId="1" xfId="0" applyNumberFormat="1" applyFont="1" applyBorder="1" applyAlignment="1">
      <alignment horizontal="right" vertical="center" wrapText="1"/>
    </xf>
    <xf numFmtId="10" fontId="46" fillId="0" borderId="1" xfId="0" applyNumberFormat="1" applyFont="1" applyBorder="1" applyAlignment="1">
      <alignment horizontal="center" vertical="center" wrapText="1"/>
    </xf>
    <xf numFmtId="170" fontId="45" fillId="0" borderId="1" xfId="0" applyNumberFormat="1" applyFont="1" applyBorder="1" applyAlignment="1">
      <alignment horizontal="center" vertical="center" wrapText="1"/>
    </xf>
    <xf numFmtId="49" fontId="26" fillId="0" borderId="6" xfId="0" applyNumberFormat="1" applyFont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right" vertical="center" wrapText="1"/>
    </xf>
    <xf numFmtId="169" fontId="26" fillId="0" borderId="7" xfId="0" applyNumberFormat="1" applyFont="1" applyBorder="1" applyAlignment="1">
      <alignment horizontal="center" vertical="center" wrapText="1"/>
    </xf>
    <xf numFmtId="0" fontId="48" fillId="0" borderId="7" xfId="0" applyFont="1" applyBorder="1" applyAlignment="1">
      <alignment horizontal="left" vertical="center" wrapText="1"/>
    </xf>
    <xf numFmtId="0" fontId="43" fillId="0" borderId="9" xfId="0" applyFont="1" applyBorder="1" applyAlignment="1">
      <alignment horizontal="left" vertical="center" wrapText="1"/>
    </xf>
    <xf numFmtId="0" fontId="49" fillId="0" borderId="9" xfId="0" applyFont="1" applyBorder="1" applyAlignment="1">
      <alignment horizontal="left" vertical="center" wrapText="1"/>
    </xf>
    <xf numFmtId="14" fontId="50" fillId="0" borderId="9" xfId="0" applyNumberFormat="1" applyFont="1" applyBorder="1" applyAlignment="1">
      <alignment horizontal="center" vertical="center" wrapText="1"/>
    </xf>
    <xf numFmtId="164" fontId="43" fillId="0" borderId="9" xfId="0" applyNumberFormat="1" applyFont="1" applyBorder="1" applyAlignment="1">
      <alignment horizontal="left" vertical="center" wrapText="1"/>
    </xf>
    <xf numFmtId="165" fontId="32" fillId="2" borderId="1" xfId="0" applyNumberFormat="1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49" fontId="3" fillId="44" borderId="1" xfId="0" applyNumberFormat="1" applyFont="1" applyFill="1" applyBorder="1" applyAlignment="1">
      <alignment horizontal="center" vertical="center" wrapText="1"/>
    </xf>
    <xf numFmtId="165" fontId="34" fillId="44" borderId="1" xfId="0" applyNumberFormat="1" applyFont="1" applyFill="1" applyBorder="1" applyAlignment="1">
      <alignment horizontal="center" vertical="center" wrapText="1"/>
    </xf>
    <xf numFmtId="165" fontId="2" fillId="44" borderId="1" xfId="0" applyNumberFormat="1" applyFont="1" applyFill="1" applyBorder="1" applyAlignment="1">
      <alignment horizontal="left" vertical="center" wrapText="1"/>
    </xf>
    <xf numFmtId="165" fontId="2" fillId="44" borderId="81" xfId="0" applyNumberFormat="1" applyFont="1" applyFill="1" applyBorder="1" applyAlignment="1">
      <alignment horizontal="center" vertical="center" wrapText="1"/>
    </xf>
    <xf numFmtId="2" fontId="2" fillId="9" borderId="23" xfId="0" applyNumberFormat="1" applyFont="1" applyFill="1" applyBorder="1" applyAlignment="1">
      <alignment horizontal="left" vertical="center" wrapText="1"/>
    </xf>
    <xf numFmtId="165" fontId="3" fillId="9" borderId="23" xfId="0" applyNumberFormat="1" applyFont="1" applyFill="1" applyBorder="1" applyAlignment="1">
      <alignment horizontal="left" vertical="center" wrapText="1"/>
    </xf>
    <xf numFmtId="165" fontId="8" fillId="4" borderId="1" xfId="0" applyNumberFormat="1" applyFont="1" applyFill="1" applyBorder="1" applyAlignment="1">
      <alignment horizontal="left" vertical="center" wrapText="1"/>
    </xf>
    <xf numFmtId="2" fontId="2" fillId="9" borderId="1" xfId="0" applyNumberFormat="1" applyFont="1" applyFill="1" applyBorder="1" applyAlignment="1">
      <alignment horizontal="left" vertical="center" wrapText="1"/>
    </xf>
    <xf numFmtId="165" fontId="8" fillId="9" borderId="1" xfId="0" applyNumberFormat="1" applyFont="1" applyFill="1" applyBorder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5" fontId="34" fillId="22" borderId="1" xfId="0" applyNumberFormat="1" applyFont="1" applyFill="1" applyBorder="1" applyAlignment="1">
      <alignment horizontal="center" vertical="center" wrapText="1"/>
    </xf>
    <xf numFmtId="165" fontId="2" fillId="44" borderId="1" xfId="0" applyNumberFormat="1" applyFont="1" applyFill="1" applyBorder="1" applyAlignment="1">
      <alignment horizontal="center" vertical="center" wrapText="1"/>
    </xf>
    <xf numFmtId="170" fontId="13" fillId="0" borderId="0" xfId="0" applyNumberFormat="1" applyFont="1" applyAlignment="1">
      <alignment vertical="center" wrapText="1"/>
    </xf>
    <xf numFmtId="9" fontId="34" fillId="9" borderId="43" xfId="2" applyNumberFormat="1" applyFont="1" applyFill="1" applyBorder="1" applyAlignment="1">
      <alignment horizontal="center" vertical="center"/>
    </xf>
    <xf numFmtId="168" fontId="35" fillId="9" borderId="43" xfId="0" applyNumberFormat="1" applyFont="1" applyFill="1" applyBorder="1" applyAlignment="1">
      <alignment horizontal="center" vertical="center"/>
    </xf>
    <xf numFmtId="0" fontId="31" fillId="9" borderId="38" xfId="0" applyFont="1" applyFill="1" applyBorder="1" applyAlignment="1">
      <alignment horizontal="right" vertical="center" wrapText="1"/>
    </xf>
    <xf numFmtId="9" fontId="31" fillId="9" borderId="9" xfId="2" applyNumberFormat="1" applyFont="1" applyFill="1" applyBorder="1" applyAlignment="1">
      <alignment horizontal="center" vertical="center"/>
    </xf>
    <xf numFmtId="168" fontId="51" fillId="9" borderId="9" xfId="0" applyNumberFormat="1" applyFont="1" applyFill="1" applyBorder="1" applyAlignment="1">
      <alignment horizontal="center" vertical="center"/>
    </xf>
    <xf numFmtId="0" fontId="31" fillId="9" borderId="35" xfId="0" applyFont="1" applyFill="1" applyBorder="1" applyAlignment="1">
      <alignment horizontal="right" vertical="center" wrapText="1"/>
    </xf>
    <xf numFmtId="0" fontId="34" fillId="9" borderId="9" xfId="0" applyFont="1" applyFill="1" applyBorder="1" applyAlignment="1">
      <alignment horizontal="right" vertical="center" wrapText="1"/>
    </xf>
    <xf numFmtId="9" fontId="34" fillId="9" borderId="9" xfId="2" applyNumberFormat="1" applyFont="1" applyFill="1" applyBorder="1" applyAlignment="1">
      <alignment horizontal="center" vertical="center"/>
    </xf>
    <xf numFmtId="168" fontId="35" fillId="9" borderId="9" xfId="0" applyNumberFormat="1" applyFont="1" applyFill="1" applyBorder="1" applyAlignment="1">
      <alignment horizontal="center" vertical="center"/>
    </xf>
    <xf numFmtId="2" fontId="2" fillId="0" borderId="15" xfId="0" applyNumberFormat="1" applyFont="1" applyBorder="1" applyAlignment="1">
      <alignment horizontal="left" vertical="center" wrapText="1"/>
    </xf>
    <xf numFmtId="165" fontId="8" fillId="4" borderId="15" xfId="0" applyNumberFormat="1" applyFont="1" applyFill="1" applyBorder="1" applyAlignment="1">
      <alignment horizontal="left" vertical="center" wrapText="1"/>
    </xf>
    <xf numFmtId="0" fontId="52" fillId="8" borderId="0" xfId="0" applyFont="1" applyFill="1" applyAlignment="1">
      <alignment vertical="center" wrapText="1"/>
    </xf>
    <xf numFmtId="170" fontId="52" fillId="8" borderId="0" xfId="0" applyNumberFormat="1" applyFont="1" applyFill="1" applyAlignment="1">
      <alignment vertical="center"/>
    </xf>
    <xf numFmtId="168" fontId="31" fillId="25" borderId="1" xfId="0" applyNumberFormat="1" applyFont="1" applyFill="1" applyBorder="1" applyAlignment="1">
      <alignment horizontal="center" vertical="center" wrapText="1"/>
    </xf>
    <xf numFmtId="165" fontId="53" fillId="10" borderId="1" xfId="0" applyNumberFormat="1" applyFont="1" applyFill="1" applyBorder="1" applyAlignment="1">
      <alignment horizontal="center" vertical="center" wrapText="1"/>
    </xf>
    <xf numFmtId="49" fontId="4" fillId="0" borderId="43" xfId="0" applyNumberFormat="1" applyFont="1" applyBorder="1" applyAlignment="1">
      <alignment horizontal="center" vertical="center" wrapText="1"/>
    </xf>
    <xf numFmtId="4" fontId="32" fillId="0" borderId="1" xfId="0" applyNumberFormat="1" applyFont="1" applyBorder="1" applyAlignment="1">
      <alignment horizontal="center" vertical="center" wrapText="1"/>
    </xf>
    <xf numFmtId="168" fontId="33" fillId="0" borderId="1" xfId="0" applyNumberFormat="1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 wrapText="1"/>
    </xf>
    <xf numFmtId="0" fontId="22" fillId="19" borderId="7" xfId="0" applyFont="1" applyFill="1" applyBorder="1" applyAlignment="1">
      <alignment horizontal="center" vertical="center" wrapText="1"/>
    </xf>
    <xf numFmtId="9" fontId="1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" fontId="34" fillId="25" borderId="1" xfId="0" applyNumberFormat="1" applyFont="1" applyFill="1" applyBorder="1" applyAlignment="1">
      <alignment horizontal="center" vertical="center" wrapText="1"/>
    </xf>
    <xf numFmtId="49" fontId="2" fillId="19" borderId="1" xfId="0" applyNumberFormat="1" applyFont="1" applyFill="1" applyBorder="1" applyAlignment="1">
      <alignment horizontal="center" vertical="center" wrapText="1"/>
    </xf>
    <xf numFmtId="2" fontId="2" fillId="0" borderId="43" xfId="0" applyNumberFormat="1" applyFont="1" applyBorder="1" applyAlignment="1">
      <alignment horizontal="left" vertical="center" wrapText="1"/>
    </xf>
    <xf numFmtId="1" fontId="3" fillId="45" borderId="1" xfId="0" applyNumberFormat="1" applyFont="1" applyFill="1" applyBorder="1" applyAlignment="1">
      <alignment horizontal="center" vertical="center" wrapText="1"/>
    </xf>
    <xf numFmtId="0" fontId="31" fillId="45" borderId="1" xfId="0" applyFont="1" applyFill="1" applyBorder="1" applyAlignment="1">
      <alignment horizontal="left" vertical="center" wrapText="1"/>
    </xf>
    <xf numFmtId="10" fontId="31" fillId="45" borderId="1" xfId="0" applyNumberFormat="1" applyFont="1" applyFill="1" applyBorder="1" applyAlignment="1">
      <alignment horizontal="center" vertical="center"/>
    </xf>
    <xf numFmtId="168" fontId="31" fillId="45" borderId="1" xfId="0" applyNumberFormat="1" applyFont="1" applyFill="1" applyBorder="1" applyAlignment="1">
      <alignment horizontal="center" vertical="center" wrapText="1"/>
    </xf>
    <xf numFmtId="165" fontId="2" fillId="45" borderId="1" xfId="0" applyNumberFormat="1" applyFont="1" applyFill="1" applyBorder="1" applyAlignment="1">
      <alignment horizontal="left" vertical="center" wrapText="1"/>
    </xf>
    <xf numFmtId="165" fontId="2" fillId="45" borderId="1" xfId="0" applyNumberFormat="1" applyFont="1" applyFill="1" applyBorder="1" applyAlignment="1">
      <alignment horizontal="center" vertical="center" wrapText="1"/>
    </xf>
    <xf numFmtId="0" fontId="31" fillId="46" borderId="1" xfId="0" applyFont="1" applyFill="1" applyBorder="1" applyAlignment="1">
      <alignment horizontal="left" vertical="center" wrapText="1"/>
    </xf>
    <xf numFmtId="10" fontId="31" fillId="46" borderId="1" xfId="0" applyNumberFormat="1" applyFont="1" applyFill="1" applyBorder="1" applyAlignment="1">
      <alignment horizontal="center" vertical="center"/>
    </xf>
    <xf numFmtId="168" fontId="33" fillId="46" borderId="1" xfId="0" applyNumberFormat="1" applyFont="1" applyFill="1" applyBorder="1" applyAlignment="1">
      <alignment horizontal="center" vertical="center" wrapText="1"/>
    </xf>
    <xf numFmtId="165" fontId="3" fillId="45" borderId="1" xfId="0" applyNumberFormat="1" applyFont="1" applyFill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left" vertical="center" wrapText="1"/>
    </xf>
    <xf numFmtId="2" fontId="3" fillId="0" borderId="9" xfId="0" applyNumberFormat="1" applyFont="1" applyBorder="1" applyAlignment="1">
      <alignment horizontal="left" vertical="center" wrapText="1"/>
    </xf>
    <xf numFmtId="2" fontId="3" fillId="9" borderId="9" xfId="0" applyNumberFormat="1" applyFont="1" applyFill="1" applyBorder="1" applyAlignment="1">
      <alignment horizontal="left" vertical="center" wrapText="1"/>
    </xf>
    <xf numFmtId="49" fontId="55" fillId="38" borderId="1" xfId="0" applyNumberFormat="1" applyFont="1" applyFill="1" applyBorder="1" applyAlignment="1">
      <alignment horizontal="center" vertical="center" wrapText="1"/>
    </xf>
    <xf numFmtId="0" fontId="56" fillId="38" borderId="1" xfId="0" applyFont="1" applyFill="1" applyBorder="1" applyAlignment="1">
      <alignment horizontal="left" vertical="center" wrapText="1"/>
    </xf>
    <xf numFmtId="10" fontId="56" fillId="38" borderId="1" xfId="0" applyNumberFormat="1" applyFont="1" applyFill="1" applyBorder="1" applyAlignment="1">
      <alignment horizontal="center" vertical="center"/>
    </xf>
    <xf numFmtId="168" fontId="56" fillId="38" borderId="1" xfId="0" applyNumberFormat="1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6" fillId="39" borderId="1" xfId="0" applyFont="1" applyFill="1" applyBorder="1" applyAlignment="1">
      <alignment horizontal="left" vertical="center" wrapText="1"/>
    </xf>
    <xf numFmtId="10" fontId="56" fillId="39" borderId="1" xfId="0" applyNumberFormat="1" applyFont="1" applyFill="1" applyBorder="1" applyAlignment="1">
      <alignment horizontal="center" vertical="center"/>
    </xf>
    <xf numFmtId="168" fontId="56" fillId="39" borderId="1" xfId="0" applyNumberFormat="1" applyFont="1" applyFill="1" applyBorder="1" applyAlignment="1">
      <alignment horizontal="center" vertical="center" wrapText="1"/>
    </xf>
    <xf numFmtId="165" fontId="55" fillId="38" borderId="1" xfId="0" applyNumberFormat="1" applyFont="1" applyFill="1" applyBorder="1" applyAlignment="1">
      <alignment horizontal="left" vertical="center" wrapText="1"/>
    </xf>
    <xf numFmtId="165" fontId="55" fillId="38" borderId="1" xfId="0" applyNumberFormat="1" applyFont="1" applyFill="1" applyBorder="1" applyAlignment="1">
      <alignment horizontal="center" vertical="center" wrapText="1"/>
    </xf>
    <xf numFmtId="168" fontId="57" fillId="0" borderId="0" xfId="0" applyNumberFormat="1" applyFont="1" applyAlignment="1">
      <alignment vertical="center"/>
    </xf>
    <xf numFmtId="0" fontId="57" fillId="0" borderId="0" xfId="0" applyFont="1" applyAlignment="1">
      <alignment vertical="center" wrapText="1"/>
    </xf>
    <xf numFmtId="165" fontId="10" fillId="19" borderId="1" xfId="0" applyNumberFormat="1" applyFont="1" applyFill="1" applyBorder="1" applyAlignment="1">
      <alignment horizontal="center" vertical="center" wrapText="1"/>
    </xf>
    <xf numFmtId="0" fontId="33" fillId="38" borderId="1" xfId="0" applyFont="1" applyFill="1" applyBorder="1" applyAlignment="1">
      <alignment horizontal="left" vertical="center" wrapText="1"/>
    </xf>
    <xf numFmtId="10" fontId="33" fillId="38" borderId="1" xfId="0" applyNumberFormat="1" applyFont="1" applyFill="1" applyBorder="1" applyAlignment="1">
      <alignment horizontal="center" vertical="center"/>
    </xf>
    <xf numFmtId="168" fontId="33" fillId="38" borderId="1" xfId="0" applyNumberFormat="1" applyFont="1" applyFill="1" applyBorder="1" applyAlignment="1">
      <alignment horizontal="center" vertical="center" wrapText="1"/>
    </xf>
    <xf numFmtId="0" fontId="33" fillId="39" borderId="1" xfId="0" applyFont="1" applyFill="1" applyBorder="1" applyAlignment="1">
      <alignment horizontal="left" vertical="center" wrapText="1"/>
    </xf>
    <xf numFmtId="10" fontId="33" fillId="39" borderId="1" xfId="0" applyNumberFormat="1" applyFont="1" applyFill="1" applyBorder="1" applyAlignment="1">
      <alignment horizontal="center" vertical="center"/>
    </xf>
    <xf numFmtId="165" fontId="10" fillId="38" borderId="1" xfId="0" applyNumberFormat="1" applyFont="1" applyFill="1" applyBorder="1" applyAlignment="1">
      <alignment horizontal="center" vertical="center" wrapText="1"/>
    </xf>
    <xf numFmtId="49" fontId="58" fillId="38" borderId="1" xfId="0" applyNumberFormat="1" applyFont="1" applyFill="1" applyBorder="1" applyAlignment="1">
      <alignment horizontal="center" vertical="center" wrapText="1"/>
    </xf>
    <xf numFmtId="0" fontId="59" fillId="39" borderId="1" xfId="0" applyFont="1" applyFill="1" applyBorder="1" applyAlignment="1">
      <alignment horizontal="left" vertical="center" wrapText="1"/>
    </xf>
    <xf numFmtId="10" fontId="59" fillId="39" borderId="1" xfId="0" applyNumberFormat="1" applyFont="1" applyFill="1" applyBorder="1" applyAlignment="1">
      <alignment horizontal="center" vertical="center"/>
    </xf>
    <xf numFmtId="168" fontId="59" fillId="39" borderId="1" xfId="0" applyNumberFormat="1" applyFont="1" applyFill="1" applyBorder="1" applyAlignment="1">
      <alignment horizontal="center" vertical="center" wrapText="1"/>
    </xf>
    <xf numFmtId="2" fontId="3" fillId="9" borderId="23" xfId="0" applyNumberFormat="1" applyFont="1" applyFill="1" applyBorder="1" applyAlignment="1">
      <alignment horizontal="left" vertical="center" wrapText="1"/>
    </xf>
    <xf numFmtId="165" fontId="2" fillId="19" borderId="38" xfId="0" applyNumberFormat="1" applyFont="1" applyFill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left" vertical="center" wrapText="1"/>
    </xf>
    <xf numFmtId="165" fontId="3" fillId="9" borderId="12" xfId="0" applyNumberFormat="1" applyFont="1" applyFill="1" applyBorder="1" applyAlignment="1">
      <alignment horizontal="left" vertical="center" wrapText="1"/>
    </xf>
    <xf numFmtId="165" fontId="2" fillId="19" borderId="81" xfId="0" applyNumberFormat="1" applyFont="1" applyFill="1" applyBorder="1" applyAlignment="1">
      <alignment horizontal="center" vertical="center" wrapText="1"/>
    </xf>
    <xf numFmtId="2" fontId="3" fillId="0" borderId="101" xfId="0" applyNumberFormat="1" applyFont="1" applyBorder="1" applyAlignment="1">
      <alignment horizontal="left" vertical="center" wrapText="1"/>
    </xf>
    <xf numFmtId="165" fontId="3" fillId="9" borderId="92" xfId="0" applyNumberFormat="1" applyFont="1" applyFill="1" applyBorder="1" applyAlignment="1">
      <alignment horizontal="left" vertical="center" wrapText="1"/>
    </xf>
    <xf numFmtId="0" fontId="61" fillId="10" borderId="1" xfId="0" applyFont="1" applyFill="1" applyBorder="1" applyAlignment="1">
      <alignment horizontal="center" vertical="center" wrapText="1"/>
    </xf>
    <xf numFmtId="10" fontId="51" fillId="0" borderId="1" xfId="0" applyNumberFormat="1" applyFont="1" applyBorder="1" applyAlignment="1">
      <alignment horizontal="center" vertical="center" wrapText="1"/>
    </xf>
    <xf numFmtId="168" fontId="51" fillId="0" borderId="1" xfId="0" applyNumberFormat="1" applyFont="1" applyBorder="1" applyAlignment="1">
      <alignment horizontal="center" vertical="center" wrapText="1"/>
    </xf>
    <xf numFmtId="168" fontId="51" fillId="10" borderId="1" xfId="0" applyNumberFormat="1" applyFont="1" applyFill="1" applyBorder="1" applyAlignment="1">
      <alignment horizontal="center" vertical="center" wrapText="1"/>
    </xf>
    <xf numFmtId="168" fontId="51" fillId="0" borderId="1" xfId="0" applyNumberFormat="1" applyFont="1" applyBorder="1" applyAlignment="1">
      <alignment vertical="center" wrapText="1"/>
    </xf>
    <xf numFmtId="0" fontId="13" fillId="10" borderId="1" xfId="0" applyFont="1" applyFill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62" fillId="39" borderId="1" xfId="0" applyFont="1" applyFill="1" applyBorder="1" applyAlignment="1">
      <alignment horizontal="left" vertical="center" wrapText="1"/>
    </xf>
    <xf numFmtId="168" fontId="31" fillId="39" borderId="1" xfId="0" applyNumberFormat="1" applyFont="1" applyFill="1" applyBorder="1" applyAlignment="1">
      <alignment horizontal="center" vertical="center" wrapText="1"/>
    </xf>
    <xf numFmtId="0" fontId="63" fillId="40" borderId="1" xfId="0" applyFont="1" applyFill="1" applyBorder="1" applyAlignment="1">
      <alignment horizontal="right" vertical="center" wrapText="1"/>
    </xf>
    <xf numFmtId="10" fontId="63" fillId="40" borderId="1" xfId="0" applyNumberFormat="1" applyFont="1" applyFill="1" applyBorder="1" applyAlignment="1">
      <alignment horizontal="center" vertical="center"/>
    </xf>
    <xf numFmtId="168" fontId="63" fillId="40" borderId="1" xfId="0" applyNumberFormat="1" applyFont="1" applyFill="1" applyBorder="1" applyAlignment="1">
      <alignment horizontal="center" vertical="center" wrapText="1"/>
    </xf>
    <xf numFmtId="0" fontId="27" fillId="40" borderId="1" xfId="0" applyFont="1" applyFill="1" applyBorder="1" applyAlignment="1">
      <alignment horizontal="right" vertical="center" wrapText="1"/>
    </xf>
    <xf numFmtId="10" fontId="27" fillId="40" borderId="1" xfId="0" applyNumberFormat="1" applyFont="1" applyFill="1" applyBorder="1" applyAlignment="1">
      <alignment horizontal="center" vertical="center"/>
    </xf>
    <xf numFmtId="168" fontId="27" fillId="40" borderId="1" xfId="0" applyNumberFormat="1" applyFont="1" applyFill="1" applyBorder="1" applyAlignment="1">
      <alignment horizontal="center" vertical="center" wrapText="1"/>
    </xf>
    <xf numFmtId="2" fontId="3" fillId="0" borderId="104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165" fontId="3" fillId="9" borderId="1" xfId="0" applyNumberFormat="1" applyFont="1" applyFill="1" applyBorder="1" applyAlignment="1">
      <alignment horizontal="left" vertical="center" wrapText="1"/>
    </xf>
    <xf numFmtId="2" fontId="3" fillId="9" borderId="43" xfId="0" applyNumberFormat="1" applyFont="1" applyFill="1" applyBorder="1" applyAlignment="1">
      <alignment horizontal="left" vertical="center" wrapText="1"/>
    </xf>
    <xf numFmtId="165" fontId="3" fillId="9" borderId="43" xfId="0" applyNumberFormat="1" applyFont="1" applyFill="1" applyBorder="1" applyAlignment="1">
      <alignment horizontal="left" vertical="center" wrapText="1"/>
    </xf>
    <xf numFmtId="0" fontId="13" fillId="0" borderId="25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168" fontId="73" fillId="0" borderId="1" xfId="0" applyNumberFormat="1" applyFont="1" applyBorder="1" applyAlignment="1">
      <alignment horizontal="center" vertical="center" wrapText="1"/>
    </xf>
    <xf numFmtId="0" fontId="73" fillId="9" borderId="1" xfId="0" applyFont="1" applyFill="1" applyBorder="1" applyAlignment="1">
      <alignment horizontal="left" vertical="center" wrapText="1"/>
    </xf>
    <xf numFmtId="168" fontId="74" fillId="9" borderId="1" xfId="0" applyNumberFormat="1" applyFont="1" applyFill="1" applyBorder="1" applyAlignment="1">
      <alignment horizontal="center" vertical="center" wrapText="1"/>
    </xf>
    <xf numFmtId="165" fontId="6" fillId="5" borderId="38" xfId="0" applyNumberFormat="1" applyFont="1" applyFill="1" applyBorder="1" applyAlignment="1">
      <alignment horizontal="center" vertical="center" wrapText="1"/>
    </xf>
    <xf numFmtId="165" fontId="6" fillId="5" borderId="39" xfId="0" applyNumberFormat="1" applyFont="1" applyFill="1" applyBorder="1" applyAlignment="1">
      <alignment horizontal="center" vertical="center" wrapText="1"/>
    </xf>
    <xf numFmtId="165" fontId="6" fillId="5" borderId="42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39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30" fillId="14" borderId="38" xfId="0" applyFont="1" applyFill="1" applyBorder="1" applyAlignment="1">
      <alignment horizontal="center" vertical="center" wrapText="1"/>
    </xf>
    <xf numFmtId="0" fontId="30" fillId="14" borderId="39" xfId="0" applyFont="1" applyFill="1" applyBorder="1" applyAlignment="1">
      <alignment horizontal="center" vertical="center" wrapText="1"/>
    </xf>
    <xf numFmtId="0" fontId="30" fillId="14" borderId="40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64" fontId="16" fillId="3" borderId="4" xfId="0" applyNumberFormat="1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165" fontId="6" fillId="5" borderId="3" xfId="0" applyNumberFormat="1" applyFont="1" applyFill="1" applyBorder="1" applyAlignment="1">
      <alignment horizontal="center" vertical="center" wrapText="1"/>
    </xf>
    <xf numFmtId="165" fontId="6" fillId="5" borderId="4" xfId="0" applyNumberFormat="1" applyFont="1" applyFill="1" applyBorder="1" applyAlignment="1">
      <alignment horizontal="center" vertical="center" wrapText="1"/>
    </xf>
    <xf numFmtId="165" fontId="6" fillId="5" borderId="5" xfId="0" applyNumberFormat="1" applyFont="1" applyFill="1" applyBorder="1" applyAlignment="1">
      <alignment horizontal="center" vertical="center" wrapText="1"/>
    </xf>
    <xf numFmtId="165" fontId="6" fillId="5" borderId="11" xfId="0" applyNumberFormat="1" applyFont="1" applyFill="1" applyBorder="1" applyAlignment="1">
      <alignment horizontal="center" vertical="center" wrapText="1"/>
    </xf>
    <xf numFmtId="165" fontId="6" fillId="5" borderId="20" xfId="0" applyNumberFormat="1" applyFont="1" applyFill="1" applyBorder="1" applyAlignment="1">
      <alignment horizontal="center" vertical="center" wrapText="1"/>
    </xf>
    <xf numFmtId="2" fontId="2" fillId="6" borderId="24" xfId="0" applyNumberFormat="1" applyFont="1" applyFill="1" applyBorder="1" applyAlignment="1">
      <alignment horizontal="left" vertical="center" wrapText="1"/>
    </xf>
    <xf numFmtId="165" fontId="2" fillId="6" borderId="4" xfId="0" applyNumberFormat="1" applyFont="1" applyFill="1" applyBorder="1" applyAlignment="1">
      <alignment horizontal="left" vertical="center" wrapText="1"/>
    </xf>
    <xf numFmtId="10" fontId="2" fillId="6" borderId="4" xfId="0" applyNumberFormat="1" applyFont="1" applyFill="1" applyBorder="1" applyAlignment="1">
      <alignment horizontal="left" vertical="center" wrapText="1"/>
    </xf>
    <xf numFmtId="165" fontId="2" fillId="6" borderId="5" xfId="0" applyNumberFormat="1" applyFont="1" applyFill="1" applyBorder="1" applyAlignment="1">
      <alignment horizontal="left" vertical="center" wrapText="1"/>
    </xf>
    <xf numFmtId="2" fontId="5" fillId="3" borderId="24" xfId="0" applyNumberFormat="1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10" fontId="5" fillId="3" borderId="4" xfId="0" applyNumberFormat="1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2" fontId="5" fillId="10" borderId="24" xfId="0" applyNumberFormat="1" applyFont="1" applyFill="1" applyBorder="1" applyAlignment="1">
      <alignment horizontal="center" vertical="center" wrapText="1"/>
    </xf>
    <xf numFmtId="2" fontId="5" fillId="10" borderId="11" xfId="0" applyNumberFormat="1" applyFont="1" applyFill="1" applyBorder="1" applyAlignment="1">
      <alignment horizontal="center" vertical="center" wrapText="1"/>
    </xf>
    <xf numFmtId="2" fontId="5" fillId="10" borderId="4" xfId="0" applyNumberFormat="1" applyFont="1" applyFill="1" applyBorder="1" applyAlignment="1">
      <alignment horizontal="center" vertical="center" wrapText="1"/>
    </xf>
    <xf numFmtId="2" fontId="5" fillId="10" borderId="20" xfId="0" applyNumberFormat="1" applyFont="1" applyFill="1" applyBorder="1" applyAlignment="1">
      <alignment horizontal="center" vertical="center" wrapText="1"/>
    </xf>
    <xf numFmtId="165" fontId="6" fillId="5" borderId="9" xfId="0" applyNumberFormat="1" applyFont="1" applyFill="1" applyBorder="1" applyAlignment="1">
      <alignment horizontal="center" vertical="center" wrapText="1"/>
    </xf>
    <xf numFmtId="2" fontId="2" fillId="6" borderId="31" xfId="0" applyNumberFormat="1" applyFont="1" applyFill="1" applyBorder="1" applyAlignment="1">
      <alignment horizontal="left" vertical="center" wrapText="1"/>
    </xf>
    <xf numFmtId="165" fontId="2" fillId="6" borderId="18" xfId="0" applyNumberFormat="1" applyFont="1" applyFill="1" applyBorder="1" applyAlignment="1">
      <alignment horizontal="left" vertical="center" wrapText="1"/>
    </xf>
    <xf numFmtId="10" fontId="2" fillId="6" borderId="18" xfId="0" applyNumberFormat="1" applyFont="1" applyFill="1" applyBorder="1" applyAlignment="1">
      <alignment horizontal="left" vertical="center" wrapText="1"/>
    </xf>
    <xf numFmtId="165" fontId="2" fillId="6" borderId="19" xfId="0" applyNumberFormat="1" applyFont="1" applyFill="1" applyBorder="1" applyAlignment="1">
      <alignment horizontal="left" vertical="center" wrapText="1"/>
    </xf>
    <xf numFmtId="165" fontId="5" fillId="10" borderId="4" xfId="0" applyNumberFormat="1" applyFont="1" applyFill="1" applyBorder="1" applyAlignment="1">
      <alignment horizontal="center" vertical="center" wrapText="1"/>
    </xf>
    <xf numFmtId="10" fontId="5" fillId="10" borderId="4" xfId="0" applyNumberFormat="1" applyFont="1" applyFill="1" applyBorder="1" applyAlignment="1">
      <alignment horizontal="center" vertical="center" wrapText="1"/>
    </xf>
    <xf numFmtId="165" fontId="5" fillId="10" borderId="5" xfId="0" applyNumberFormat="1" applyFont="1" applyFill="1" applyBorder="1" applyAlignment="1">
      <alignment horizontal="center" vertical="center" wrapText="1"/>
    </xf>
    <xf numFmtId="2" fontId="9" fillId="3" borderId="24" xfId="0" applyNumberFormat="1" applyFont="1" applyFill="1" applyBorder="1" applyAlignment="1">
      <alignment horizontal="center" vertical="center" wrapText="1"/>
    </xf>
    <xf numFmtId="165" fontId="9" fillId="3" borderId="4" xfId="0" applyNumberFormat="1" applyFont="1" applyFill="1" applyBorder="1" applyAlignment="1">
      <alignment horizontal="center" vertical="center" wrapText="1"/>
    </xf>
    <xf numFmtId="10" fontId="9" fillId="3" borderId="4" xfId="0" applyNumberFormat="1" applyFont="1" applyFill="1" applyBorder="1" applyAlignment="1">
      <alignment horizontal="center" vertical="center" wrapText="1"/>
    </xf>
    <xf numFmtId="165" fontId="9" fillId="3" borderId="5" xfId="0" applyNumberFormat="1" applyFont="1" applyFill="1" applyBorder="1" applyAlignment="1">
      <alignment horizontal="center" vertical="center" wrapText="1"/>
    </xf>
    <xf numFmtId="165" fontId="4" fillId="5" borderId="3" xfId="0" applyNumberFormat="1" applyFont="1" applyFill="1" applyBorder="1" applyAlignment="1">
      <alignment horizontal="center" vertical="center" wrapText="1"/>
    </xf>
    <xf numFmtId="165" fontId="4" fillId="5" borderId="4" xfId="0" applyNumberFormat="1" applyFont="1" applyFill="1" applyBorder="1" applyAlignment="1">
      <alignment horizontal="center" vertical="center" wrapText="1"/>
    </xf>
    <xf numFmtId="165" fontId="4" fillId="5" borderId="5" xfId="0" applyNumberFormat="1" applyFont="1" applyFill="1" applyBorder="1" applyAlignment="1">
      <alignment horizontal="center" vertical="center" wrapText="1"/>
    </xf>
    <xf numFmtId="2" fontId="2" fillId="6" borderId="3" xfId="0" applyNumberFormat="1" applyFont="1" applyFill="1" applyBorder="1" applyAlignment="1">
      <alignment horizontal="left" vertical="center" wrapText="1"/>
    </xf>
    <xf numFmtId="2" fontId="9" fillId="3" borderId="3" xfId="0" applyNumberFormat="1" applyFont="1" applyFill="1" applyBorder="1" applyAlignment="1">
      <alignment horizontal="center" vertical="center" wrapText="1"/>
    </xf>
    <xf numFmtId="165" fontId="6" fillId="7" borderId="3" xfId="0" applyNumberFormat="1" applyFont="1" applyFill="1" applyBorder="1" applyAlignment="1">
      <alignment horizontal="center" vertical="center" wrapText="1"/>
    </xf>
    <xf numFmtId="165" fontId="6" fillId="7" borderId="4" xfId="0" applyNumberFormat="1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left" vertical="center" wrapText="1"/>
    </xf>
    <xf numFmtId="2" fontId="2" fillId="6" borderId="10" xfId="0" applyNumberFormat="1" applyFont="1" applyFill="1" applyBorder="1" applyAlignment="1">
      <alignment horizontal="left" vertical="center" wrapText="1"/>
    </xf>
    <xf numFmtId="2" fontId="2" fillId="6" borderId="11" xfId="0" applyNumberFormat="1" applyFont="1" applyFill="1" applyBorder="1" applyAlignment="1">
      <alignment horizontal="left" vertical="center" wrapText="1"/>
    </xf>
    <xf numFmtId="2" fontId="2" fillId="6" borderId="20" xfId="0" applyNumberFormat="1" applyFont="1" applyFill="1" applyBorder="1" applyAlignment="1">
      <alignment horizontal="left" vertical="center" wrapText="1"/>
    </xf>
    <xf numFmtId="2" fontId="9" fillId="3" borderId="10" xfId="0" applyNumberFormat="1" applyFont="1" applyFill="1" applyBorder="1" applyAlignment="1">
      <alignment horizontal="center" vertical="center" wrapText="1"/>
    </xf>
    <xf numFmtId="2" fontId="9" fillId="3" borderId="11" xfId="0" applyNumberFormat="1" applyFont="1" applyFill="1" applyBorder="1" applyAlignment="1">
      <alignment horizontal="center" vertical="center" wrapText="1"/>
    </xf>
    <xf numFmtId="2" fontId="9" fillId="3" borderId="20" xfId="0" applyNumberFormat="1" applyFont="1" applyFill="1" applyBorder="1" applyAlignment="1">
      <alignment horizontal="center" vertical="center" wrapText="1"/>
    </xf>
    <xf numFmtId="165" fontId="4" fillId="7" borderId="9" xfId="0" applyNumberFormat="1" applyFont="1" applyFill="1" applyBorder="1" applyAlignment="1">
      <alignment horizontal="center" vertical="center" wrapText="1"/>
    </xf>
    <xf numFmtId="2" fontId="2" fillId="6" borderId="17" xfId="0" applyNumberFormat="1" applyFont="1" applyFill="1" applyBorder="1" applyAlignment="1">
      <alignment horizontal="left" vertical="center" wrapText="1"/>
    </xf>
    <xf numFmtId="1" fontId="3" fillId="4" borderId="10" xfId="0" applyNumberFormat="1" applyFont="1" applyFill="1" applyBorder="1" applyAlignment="1">
      <alignment horizontal="center" vertical="center" wrapText="1"/>
    </xf>
    <xf numFmtId="1" fontId="3" fillId="4" borderId="17" xfId="0" applyNumberFormat="1" applyFont="1" applyFill="1" applyBorder="1" applyAlignment="1">
      <alignment horizontal="center" vertical="center" wrapText="1"/>
    </xf>
    <xf numFmtId="9" fontId="3" fillId="4" borderId="20" xfId="0" applyNumberFormat="1" applyFont="1" applyFill="1" applyBorder="1" applyAlignment="1">
      <alignment horizontal="center" vertical="center" wrapText="1"/>
    </xf>
    <xf numFmtId="9" fontId="3" fillId="4" borderId="19" xfId="0" applyNumberFormat="1" applyFont="1" applyFill="1" applyBorder="1" applyAlignment="1">
      <alignment horizontal="center" vertical="center" wrapText="1"/>
    </xf>
    <xf numFmtId="165" fontId="3" fillId="4" borderId="8" xfId="0" applyNumberFormat="1" applyFont="1" applyFill="1" applyBorder="1" applyAlignment="1">
      <alignment horizontal="center" vertical="center" wrapText="1"/>
    </xf>
    <xf numFmtId="165" fontId="3" fillId="4" borderId="16" xfId="0" applyNumberFormat="1" applyFont="1" applyFill="1" applyBorder="1" applyAlignment="1">
      <alignment horizontal="center" vertical="center" wrapText="1"/>
    </xf>
    <xf numFmtId="165" fontId="8" fillId="9" borderId="8" xfId="0" applyNumberFormat="1" applyFont="1" applyFill="1" applyBorder="1" applyAlignment="1">
      <alignment horizontal="center" vertical="center" wrapText="1"/>
    </xf>
    <xf numFmtId="165" fontId="8" fillId="9" borderId="16" xfId="0" applyNumberFormat="1" applyFont="1" applyFill="1" applyBorder="1" applyAlignment="1">
      <alignment horizontal="center" vertical="center" wrapText="1"/>
    </xf>
    <xf numFmtId="165" fontId="8" fillId="9" borderId="21" xfId="0" applyNumberFormat="1" applyFont="1" applyFill="1" applyBorder="1" applyAlignment="1">
      <alignment horizontal="center" vertical="center" wrapText="1"/>
    </xf>
    <xf numFmtId="165" fontId="4" fillId="7" borderId="3" xfId="0" applyNumberFormat="1" applyFont="1" applyFill="1" applyBorder="1" applyAlignment="1">
      <alignment horizontal="center" vertical="center" wrapText="1"/>
    </xf>
    <xf numFmtId="165" fontId="4" fillId="7" borderId="11" xfId="0" applyNumberFormat="1" applyFont="1" applyFill="1" applyBorder="1" applyAlignment="1">
      <alignment horizontal="center" vertical="center" wrapText="1"/>
    </xf>
    <xf numFmtId="165" fontId="4" fillId="7" borderId="5" xfId="0" applyNumberFormat="1" applyFont="1" applyFill="1" applyBorder="1" applyAlignment="1">
      <alignment horizontal="center" vertical="center" wrapText="1"/>
    </xf>
    <xf numFmtId="165" fontId="4" fillId="9" borderId="8" xfId="0" applyNumberFormat="1" applyFont="1" applyFill="1" applyBorder="1" applyAlignment="1">
      <alignment horizontal="center" vertical="center" wrapText="1"/>
    </xf>
    <xf numFmtId="165" fontId="4" fillId="9" borderId="16" xfId="0" applyNumberFormat="1" applyFont="1" applyFill="1" applyBorder="1" applyAlignment="1">
      <alignment horizontal="center" vertical="center" wrapText="1"/>
    </xf>
    <xf numFmtId="165" fontId="4" fillId="9" borderId="21" xfId="0" applyNumberFormat="1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164" fontId="6" fillId="5" borderId="4" xfId="0" applyNumberFormat="1" applyFont="1" applyFill="1" applyBorder="1" applyAlignment="1">
      <alignment horizontal="center" vertical="center" wrapText="1"/>
    </xf>
    <xf numFmtId="164" fontId="6" fillId="5" borderId="5" xfId="0" applyNumberFormat="1" applyFont="1" applyFill="1" applyBorder="1" applyAlignment="1">
      <alignment horizontal="center" vertical="center" wrapText="1"/>
    </xf>
    <xf numFmtId="2" fontId="9" fillId="3" borderId="9" xfId="0" applyNumberFormat="1" applyFont="1" applyFill="1" applyBorder="1" applyAlignment="1">
      <alignment horizontal="center" vertical="center" wrapText="1"/>
    </xf>
    <xf numFmtId="165" fontId="9" fillId="3" borderId="9" xfId="0" applyNumberFormat="1" applyFont="1" applyFill="1" applyBorder="1" applyAlignment="1">
      <alignment horizontal="center" vertical="center" wrapText="1"/>
    </xf>
    <xf numFmtId="10" fontId="9" fillId="3" borderId="9" xfId="0" applyNumberFormat="1" applyFont="1" applyFill="1" applyBorder="1" applyAlignment="1">
      <alignment horizontal="center" vertical="center" wrapText="1"/>
    </xf>
    <xf numFmtId="165" fontId="6" fillId="5" borderId="17" xfId="0" applyNumberFormat="1" applyFont="1" applyFill="1" applyBorder="1" applyAlignment="1">
      <alignment horizontal="center" vertical="center" wrapText="1"/>
    </xf>
    <xf numFmtId="165" fontId="6" fillId="5" borderId="18" xfId="0" applyNumberFormat="1" applyFont="1" applyFill="1" applyBorder="1" applyAlignment="1">
      <alignment horizontal="center" vertical="center" wrapText="1"/>
    </xf>
    <xf numFmtId="165" fontId="6" fillId="5" borderId="19" xfId="0" applyNumberFormat="1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0" fillId="0" borderId="99" xfId="0" applyFont="1" applyBorder="1" applyAlignment="1">
      <alignment horizontal="center" vertical="center" wrapText="1"/>
    </xf>
    <xf numFmtId="0" fontId="40" fillId="0" borderId="69" xfId="0" applyFont="1" applyBorder="1" applyAlignment="1">
      <alignment horizontal="center" vertical="center" wrapText="1"/>
    </xf>
    <xf numFmtId="0" fontId="40" fillId="0" borderId="100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/>
    </xf>
    <xf numFmtId="0" fontId="13" fillId="0" borderId="90" xfId="0" applyFont="1" applyBorder="1" applyAlignment="1">
      <alignment horizontal="left" vertical="top"/>
    </xf>
    <xf numFmtId="49" fontId="0" fillId="0" borderId="25" xfId="0" applyNumberFormat="1" applyBorder="1" applyAlignment="1">
      <alignment horizontal="center" wrapText="1"/>
    </xf>
    <xf numFmtId="49" fontId="0" fillId="0" borderId="26" xfId="0" applyNumberFormat="1" applyBorder="1" applyAlignment="1">
      <alignment horizontal="center" wrapText="1"/>
    </xf>
    <xf numFmtId="49" fontId="0" fillId="0" borderId="27" xfId="0" applyNumberFormat="1" applyBorder="1" applyAlignment="1">
      <alignment horizontal="center" wrapText="1"/>
    </xf>
    <xf numFmtId="49" fontId="0" fillId="0" borderId="28" xfId="0" applyNumberFormat="1" applyBorder="1" applyAlignment="1">
      <alignment horizontal="center" wrapText="1"/>
    </xf>
    <xf numFmtId="49" fontId="0" fillId="0" borderId="29" xfId="0" applyNumberFormat="1" applyBorder="1" applyAlignment="1">
      <alignment horizontal="center" wrapText="1"/>
    </xf>
    <xf numFmtId="49" fontId="0" fillId="0" borderId="90" xfId="0" applyNumberFormat="1" applyBorder="1" applyAlignment="1">
      <alignment horizontal="center" wrapText="1"/>
    </xf>
    <xf numFmtId="0" fontId="30" fillId="14" borderId="31" xfId="0" applyFont="1" applyFill="1" applyBorder="1" applyAlignment="1">
      <alignment horizontal="center" vertical="center" wrapText="1"/>
    </xf>
    <xf numFmtId="0" fontId="30" fillId="14" borderId="18" xfId="0" applyFont="1" applyFill="1" applyBorder="1" applyAlignment="1">
      <alignment horizontal="center" vertical="center" wrapText="1"/>
    </xf>
    <xf numFmtId="0" fontId="30" fillId="14" borderId="91" xfId="0" applyFont="1" applyFill="1" applyBorder="1" applyAlignment="1">
      <alignment horizontal="center" vertical="center" wrapText="1"/>
    </xf>
    <xf numFmtId="170" fontId="14" fillId="3" borderId="38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14" fontId="1" fillId="0" borderId="38" xfId="1" applyNumberFormat="1" applyFont="1" applyBorder="1" applyAlignment="1">
      <alignment horizontal="left" vertical="center"/>
    </xf>
    <xf numFmtId="14" fontId="1" fillId="0" borderId="39" xfId="1" applyNumberFormat="1" applyFont="1" applyBorder="1" applyAlignment="1">
      <alignment horizontal="left" vertical="center"/>
    </xf>
    <xf numFmtId="14" fontId="1" fillId="0" borderId="42" xfId="1" applyNumberFormat="1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left" vertical="center" wrapText="1"/>
    </xf>
    <xf numFmtId="14" fontId="2" fillId="0" borderId="39" xfId="0" applyNumberFormat="1" applyFont="1" applyBorder="1" applyAlignment="1">
      <alignment horizontal="left" vertical="center" wrapText="1"/>
    </xf>
    <xf numFmtId="14" fontId="2" fillId="0" borderId="42" xfId="0" applyNumberFormat="1" applyFont="1" applyBorder="1" applyAlignment="1">
      <alignment horizontal="left" vertical="center" wrapText="1"/>
    </xf>
    <xf numFmtId="10" fontId="2" fillId="0" borderId="68" xfId="0" applyNumberFormat="1" applyFont="1" applyBorder="1" applyAlignment="1">
      <alignment horizontal="left" vertical="center" wrapText="1"/>
    </xf>
    <xf numFmtId="10" fontId="2" fillId="0" borderId="69" xfId="0" applyNumberFormat="1" applyFont="1" applyBorder="1" applyAlignment="1">
      <alignment horizontal="left" vertical="center" wrapText="1"/>
    </xf>
    <xf numFmtId="10" fontId="2" fillId="0" borderId="70" xfId="0" applyNumberFormat="1" applyFont="1" applyBorder="1" applyAlignment="1">
      <alignment horizontal="left" vertical="center" wrapText="1"/>
    </xf>
    <xf numFmtId="4" fontId="2" fillId="0" borderId="94" xfId="0" applyNumberFormat="1" applyFont="1" applyBorder="1" applyAlignment="1">
      <alignment horizontal="left" vertical="top" wrapText="1"/>
    </xf>
    <xf numFmtId="4" fontId="2" fillId="0" borderId="13" xfId="0" applyNumberFormat="1" applyFont="1" applyBorder="1" applyAlignment="1">
      <alignment horizontal="left" vertical="top" wrapText="1"/>
    </xf>
    <xf numFmtId="4" fontId="2" fillId="0" borderId="95" xfId="0" applyNumberFormat="1" applyFont="1" applyBorder="1" applyAlignment="1">
      <alignment horizontal="left" vertical="top" wrapText="1"/>
    </xf>
    <xf numFmtId="14" fontId="2" fillId="9" borderId="12" xfId="0" applyNumberFormat="1" applyFont="1" applyFill="1" applyBorder="1" applyAlignment="1">
      <alignment horizontal="left" vertical="top" wrapText="1"/>
    </xf>
    <xf numFmtId="14" fontId="2" fillId="9" borderId="13" xfId="0" applyNumberFormat="1" applyFont="1" applyFill="1" applyBorder="1" applyAlignment="1">
      <alignment horizontal="left" vertical="top" wrapText="1"/>
    </xf>
    <xf numFmtId="14" fontId="2" fillId="9" borderId="14" xfId="0" applyNumberFormat="1" applyFont="1" applyFill="1" applyBorder="1" applyAlignment="1">
      <alignment horizontal="left" vertical="top" wrapText="1"/>
    </xf>
    <xf numFmtId="172" fontId="2" fillId="9" borderId="12" xfId="0" applyNumberFormat="1" applyFont="1" applyFill="1" applyBorder="1" applyAlignment="1">
      <alignment horizontal="left" vertical="center" wrapText="1"/>
    </xf>
    <xf numFmtId="172" fontId="2" fillId="9" borderId="13" xfId="0" applyNumberFormat="1" applyFont="1" applyFill="1" applyBorder="1" applyAlignment="1">
      <alignment horizontal="left" vertical="center" wrapText="1"/>
    </xf>
    <xf numFmtId="172" fontId="2" fillId="9" borderId="14" xfId="0" applyNumberFormat="1" applyFont="1" applyFill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26" xfId="0" applyFont="1" applyBorder="1" applyAlignment="1">
      <alignment horizontal="left" vertical="center" wrapText="1"/>
    </xf>
    <xf numFmtId="0" fontId="43" fillId="0" borderId="27" xfId="0" applyFont="1" applyBorder="1" applyAlignment="1">
      <alignment horizontal="left" vertical="center" wrapText="1"/>
    </xf>
    <xf numFmtId="0" fontId="43" fillId="0" borderId="43" xfId="0" applyFont="1" applyBorder="1" applyAlignment="1">
      <alignment horizontal="left" vertical="center" wrapText="1"/>
    </xf>
    <xf numFmtId="165" fontId="6" fillId="5" borderId="40" xfId="0" applyNumberFormat="1" applyFont="1" applyFill="1" applyBorder="1" applyAlignment="1">
      <alignment horizontal="center" vertical="center" wrapText="1"/>
    </xf>
    <xf numFmtId="0" fontId="1" fillId="0" borderId="38" xfId="1" applyFont="1" applyBorder="1"/>
    <xf numFmtId="0" fontId="13" fillId="0" borderId="39" xfId="0" applyFont="1" applyBorder="1" applyAlignment="1">
      <alignment horizontal="center" vertical="center"/>
    </xf>
    <xf numFmtId="14" fontId="1" fillId="0" borderId="38" xfId="1" applyNumberFormat="1" applyFont="1" applyBorder="1"/>
    <xf numFmtId="14" fontId="1" fillId="0" borderId="39" xfId="1" applyNumberFormat="1" applyFont="1" applyBorder="1"/>
    <xf numFmtId="14" fontId="1" fillId="0" borderId="42" xfId="1" applyNumberFormat="1" applyFont="1" applyBorder="1"/>
    <xf numFmtId="9" fontId="2" fillId="0" borderId="12" xfId="0" applyNumberFormat="1" applyFont="1" applyBorder="1" applyAlignment="1">
      <alignment horizontal="center" vertical="center" wrapText="1"/>
    </xf>
    <xf numFmtId="9" fontId="2" fillId="0" borderId="13" xfId="0" applyNumberFormat="1" applyFont="1" applyBorder="1" applyAlignment="1">
      <alignment horizontal="center" vertical="center" wrapText="1"/>
    </xf>
    <xf numFmtId="9" fontId="2" fillId="0" borderId="14" xfId="0" applyNumberFormat="1" applyFont="1" applyBorder="1" applyAlignment="1">
      <alignment horizontal="center" vertical="center" wrapText="1"/>
    </xf>
    <xf numFmtId="4" fontId="2" fillId="0" borderId="94" xfId="0" applyNumberFormat="1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center" vertical="center" wrapText="1"/>
    </xf>
    <xf numFmtId="4" fontId="2" fillId="0" borderId="95" xfId="0" applyNumberFormat="1" applyFont="1" applyBorder="1" applyAlignment="1">
      <alignment horizontal="center" vertical="center" wrapText="1"/>
    </xf>
    <xf numFmtId="14" fontId="2" fillId="9" borderId="12" xfId="0" applyNumberFormat="1" applyFont="1" applyFill="1" applyBorder="1" applyAlignment="1">
      <alignment horizontal="center" vertical="center" wrapText="1"/>
    </xf>
    <xf numFmtId="14" fontId="2" fillId="9" borderId="13" xfId="0" applyNumberFormat="1" applyFont="1" applyFill="1" applyBorder="1" applyAlignment="1">
      <alignment horizontal="center" vertical="center" wrapText="1"/>
    </xf>
    <xf numFmtId="14" fontId="2" fillId="9" borderId="14" xfId="0" applyNumberFormat="1" applyFont="1" applyFill="1" applyBorder="1" applyAlignment="1">
      <alignment horizontal="center" vertical="center" wrapText="1"/>
    </xf>
    <xf numFmtId="0" fontId="43" fillId="0" borderId="12" xfId="0" applyFont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center" wrapText="1"/>
    </xf>
    <xf numFmtId="0" fontId="43" fillId="0" borderId="14" xfId="0" applyFont="1" applyBorder="1" applyAlignment="1">
      <alignment horizontal="left" vertical="center" wrapText="1"/>
    </xf>
    <xf numFmtId="10" fontId="2" fillId="0" borderId="38" xfId="0" applyNumberFormat="1" applyFont="1" applyBorder="1" applyAlignment="1">
      <alignment horizontal="center" vertical="center" wrapText="1"/>
    </xf>
    <xf numFmtId="10" fontId="2" fillId="0" borderId="39" xfId="0" applyNumberFormat="1" applyFont="1" applyBorder="1" applyAlignment="1">
      <alignment horizontal="center" vertical="center" wrapText="1"/>
    </xf>
    <xf numFmtId="10" fontId="2" fillId="0" borderId="42" xfId="0" applyNumberFormat="1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14" fontId="1" fillId="0" borderId="39" xfId="0" applyNumberFormat="1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10" fontId="2" fillId="0" borderId="38" xfId="0" applyNumberFormat="1" applyFont="1" applyBorder="1" applyAlignment="1">
      <alignment horizontal="left" vertical="center" wrapText="1"/>
    </xf>
    <xf numFmtId="10" fontId="2" fillId="0" borderId="39" xfId="0" applyNumberFormat="1" applyFont="1" applyBorder="1" applyAlignment="1">
      <alignment horizontal="left" vertical="center" wrapText="1"/>
    </xf>
    <xf numFmtId="10" fontId="2" fillId="0" borderId="42" xfId="0" applyNumberFormat="1" applyFont="1" applyBorder="1" applyAlignment="1">
      <alignment horizontal="left" vertical="center" wrapText="1"/>
    </xf>
    <xf numFmtId="10" fontId="2" fillId="0" borderId="13" xfId="0" applyNumberFormat="1" applyFont="1" applyBorder="1" applyAlignment="1">
      <alignment horizontal="center" vertical="center" wrapText="1"/>
    </xf>
    <xf numFmtId="10" fontId="2" fillId="0" borderId="95" xfId="0" applyNumberFormat="1" applyFont="1" applyBorder="1" applyAlignment="1">
      <alignment horizontal="center" vertical="center" wrapText="1"/>
    </xf>
    <xf numFmtId="0" fontId="43" fillId="0" borderId="102" xfId="0" applyFont="1" applyBorder="1" applyAlignment="1">
      <alignment horizontal="left" vertical="center" wrapText="1"/>
    </xf>
    <xf numFmtId="0" fontId="43" fillId="0" borderId="97" xfId="0" applyFont="1" applyBorder="1" applyAlignment="1">
      <alignment horizontal="left" vertical="center" wrapText="1"/>
    </xf>
    <xf numFmtId="0" fontId="43" fillId="0" borderId="103" xfId="0" applyFont="1" applyBorder="1" applyAlignment="1">
      <alignment horizontal="left" vertical="center" wrapText="1"/>
    </xf>
    <xf numFmtId="10" fontId="2" fillId="0" borderId="68" xfId="0" applyNumberFormat="1" applyFont="1" applyBorder="1" applyAlignment="1">
      <alignment horizontal="center" vertical="center" wrapText="1"/>
    </xf>
    <xf numFmtId="10" fontId="2" fillId="0" borderId="69" xfId="0" applyNumberFormat="1" applyFont="1" applyBorder="1" applyAlignment="1">
      <alignment horizontal="center" vertical="center" wrapText="1"/>
    </xf>
    <xf numFmtId="10" fontId="2" fillId="0" borderId="70" xfId="0" applyNumberFormat="1" applyFont="1" applyBorder="1" applyAlignment="1">
      <alignment horizontal="center" vertical="center" wrapText="1"/>
    </xf>
    <xf numFmtId="170" fontId="14" fillId="3" borderId="1" xfId="0" applyNumberFormat="1" applyFont="1" applyFill="1" applyBorder="1" applyAlignment="1">
      <alignment horizontal="center" vertical="center" wrapText="1"/>
    </xf>
    <xf numFmtId="10" fontId="2" fillId="0" borderId="35" xfId="0" applyNumberFormat="1" applyFont="1" applyBorder="1" applyAlignment="1">
      <alignment horizontal="left" vertical="center" wrapText="1"/>
    </xf>
    <xf numFmtId="10" fontId="2" fillId="0" borderId="36" xfId="0" applyNumberFormat="1" applyFont="1" applyBorder="1" applyAlignment="1">
      <alignment horizontal="left" vertical="center" wrapText="1"/>
    </xf>
    <xf numFmtId="10" fontId="2" fillId="0" borderId="37" xfId="0" applyNumberFormat="1" applyFont="1" applyBorder="1" applyAlignment="1">
      <alignment horizontal="left" vertical="center" wrapText="1"/>
    </xf>
    <xf numFmtId="10" fontId="2" fillId="0" borderId="35" xfId="0" applyNumberFormat="1" applyFont="1" applyBorder="1" applyAlignment="1">
      <alignment horizontal="center" vertical="center" wrapText="1"/>
    </xf>
    <xf numFmtId="10" fontId="2" fillId="0" borderId="36" xfId="0" applyNumberFormat="1" applyFont="1" applyBorder="1" applyAlignment="1">
      <alignment horizontal="center" vertical="center" wrapText="1"/>
    </xf>
    <xf numFmtId="10" fontId="2" fillId="0" borderId="37" xfId="0" applyNumberFormat="1" applyFont="1" applyBorder="1" applyAlignment="1">
      <alignment horizontal="center" vertical="center" wrapText="1"/>
    </xf>
    <xf numFmtId="0" fontId="60" fillId="0" borderId="12" xfId="0" applyFont="1" applyBorder="1" applyAlignment="1">
      <alignment horizontal="left" vertical="center" wrapText="1"/>
    </xf>
    <xf numFmtId="10" fontId="2" fillId="0" borderId="94" xfId="0" applyNumberFormat="1" applyFont="1" applyBorder="1" applyAlignment="1">
      <alignment horizontal="center" vertical="center" wrapText="1"/>
    </xf>
    <xf numFmtId="14" fontId="1" fillId="0" borderId="38" xfId="1" applyNumberFormat="1" applyFont="1" applyBorder="1" applyAlignment="1">
      <alignment horizontal="center" vertical="center" wrapText="1"/>
    </xf>
    <xf numFmtId="10" fontId="2" fillId="0" borderId="15" xfId="0" applyNumberFormat="1" applyFont="1" applyBorder="1" applyAlignment="1">
      <alignment horizontal="left" vertical="top" wrapText="1"/>
    </xf>
    <xf numFmtId="0" fontId="32" fillId="3" borderId="24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 wrapText="1"/>
    </xf>
    <xf numFmtId="164" fontId="32" fillId="3" borderId="4" xfId="0" applyNumberFormat="1" applyFont="1" applyFill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165" fontId="42" fillId="5" borderId="1" xfId="0" applyNumberFormat="1" applyFont="1" applyFill="1" applyBorder="1" applyAlignment="1">
      <alignment horizontal="center" vertical="center" wrapText="1"/>
    </xf>
    <xf numFmtId="10" fontId="2" fillId="0" borderId="96" xfId="0" applyNumberFormat="1" applyFont="1" applyBorder="1" applyAlignment="1">
      <alignment horizontal="left" vertical="center" wrapText="1"/>
    </xf>
    <xf numFmtId="10" fontId="2" fillId="0" borderId="97" xfId="0" applyNumberFormat="1" applyFont="1" applyBorder="1" applyAlignment="1">
      <alignment horizontal="left" vertical="center" wrapText="1"/>
    </xf>
    <xf numFmtId="10" fontId="2" fillId="0" borderId="98" xfId="0" applyNumberFormat="1" applyFont="1" applyBorder="1" applyAlignment="1">
      <alignment horizontal="left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4" fontId="1" fillId="0" borderId="38" xfId="1" applyNumberFormat="1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 wrapText="1"/>
    </xf>
    <xf numFmtId="14" fontId="2" fillId="0" borderId="39" xfId="0" applyNumberFormat="1" applyFont="1" applyBorder="1" applyAlignment="1">
      <alignment horizontal="center" vertical="center" wrapText="1"/>
    </xf>
    <xf numFmtId="14" fontId="2" fillId="0" borderId="42" xfId="0" applyNumberFormat="1" applyFont="1" applyBorder="1" applyAlignment="1">
      <alignment horizontal="center" vertical="center" wrapText="1"/>
    </xf>
    <xf numFmtId="10" fontId="2" fillId="0" borderId="12" xfId="0" applyNumberFormat="1" applyFont="1" applyBorder="1" applyAlignment="1">
      <alignment horizontal="center" vertical="center" wrapText="1"/>
    </xf>
    <xf numFmtId="10" fontId="2" fillId="0" borderId="14" xfId="0" applyNumberFormat="1" applyFont="1" applyBorder="1" applyAlignment="1">
      <alignment horizontal="center" vertical="center" wrapText="1"/>
    </xf>
    <xf numFmtId="9" fontId="2" fillId="0" borderId="94" xfId="0" applyNumberFormat="1" applyFont="1" applyBorder="1" applyAlignment="1">
      <alignment horizontal="center" vertical="center" wrapText="1"/>
    </xf>
    <xf numFmtId="14" fontId="8" fillId="9" borderId="12" xfId="0" applyNumberFormat="1" applyFont="1" applyFill="1" applyBorder="1" applyAlignment="1">
      <alignment horizontal="center" vertical="center" wrapText="1"/>
    </xf>
    <xf numFmtId="14" fontId="8" fillId="9" borderId="13" xfId="0" applyNumberFormat="1" applyFont="1" applyFill="1" applyBorder="1" applyAlignment="1">
      <alignment horizontal="center" vertical="center" wrapText="1"/>
    </xf>
    <xf numFmtId="14" fontId="8" fillId="9" borderId="14" xfId="0" applyNumberFormat="1" applyFont="1" applyFill="1" applyBorder="1" applyAlignment="1">
      <alignment horizontal="center" vertical="center" wrapText="1"/>
    </xf>
    <xf numFmtId="9" fontId="8" fillId="9" borderId="12" xfId="0" applyNumberFormat="1" applyFont="1" applyFill="1" applyBorder="1" applyAlignment="1">
      <alignment horizontal="center" vertical="center" wrapText="1"/>
    </xf>
    <xf numFmtId="172" fontId="8" fillId="9" borderId="13" xfId="0" applyNumberFormat="1" applyFont="1" applyFill="1" applyBorder="1" applyAlignment="1">
      <alignment horizontal="center" vertical="center" wrapText="1"/>
    </xf>
    <xf numFmtId="172" fontId="8" fillId="9" borderId="14" xfId="0" applyNumberFormat="1" applyFont="1" applyFill="1" applyBorder="1" applyAlignment="1">
      <alignment horizontal="center" vertical="center" wrapText="1"/>
    </xf>
    <xf numFmtId="10" fontId="2" fillId="0" borderId="96" xfId="0" applyNumberFormat="1" applyFont="1" applyBorder="1" applyAlignment="1">
      <alignment horizontal="left" vertical="top" wrapText="1"/>
    </xf>
    <xf numFmtId="10" fontId="2" fillId="0" borderId="97" xfId="0" applyNumberFormat="1" applyFont="1" applyBorder="1" applyAlignment="1">
      <alignment horizontal="left" vertical="top" wrapText="1"/>
    </xf>
    <xf numFmtId="10" fontId="2" fillId="0" borderId="98" xfId="0" applyNumberFormat="1" applyFont="1" applyBorder="1" applyAlignment="1">
      <alignment horizontal="left" vertical="top" wrapText="1"/>
    </xf>
    <xf numFmtId="49" fontId="3" fillId="19" borderId="43" xfId="0" applyNumberFormat="1" applyFont="1" applyFill="1" applyBorder="1" applyAlignment="1">
      <alignment horizontal="center" vertical="center" wrapText="1"/>
    </xf>
    <xf numFmtId="49" fontId="3" fillId="19" borderId="15" xfId="0" applyNumberFormat="1" applyFont="1" applyFill="1" applyBorder="1" applyAlignment="1">
      <alignment horizontal="center" vertical="center" wrapText="1"/>
    </xf>
    <xf numFmtId="49" fontId="2" fillId="19" borderId="43" xfId="0" applyNumberFormat="1" applyFont="1" applyFill="1" applyBorder="1" applyAlignment="1">
      <alignment horizontal="center" vertical="center" wrapText="1"/>
    </xf>
    <xf numFmtId="49" fontId="2" fillId="19" borderId="55" xfId="0" applyNumberFormat="1" applyFont="1" applyFill="1" applyBorder="1" applyAlignment="1">
      <alignment horizontal="center" vertical="center" wrapText="1"/>
    </xf>
    <xf numFmtId="49" fontId="2" fillId="19" borderId="15" xfId="0" applyNumberFormat="1" applyFont="1" applyFill="1" applyBorder="1" applyAlignment="1">
      <alignment horizontal="center" vertical="center" wrapText="1"/>
    </xf>
    <xf numFmtId="14" fontId="1" fillId="0" borderId="38" xfId="0" applyNumberFormat="1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172" fontId="2" fillId="9" borderId="12" xfId="0" applyNumberFormat="1" applyFont="1" applyFill="1" applyBorder="1" applyAlignment="1">
      <alignment horizontal="center" vertical="center" wrapText="1"/>
    </xf>
    <xf numFmtId="172" fontId="2" fillId="9" borderId="13" xfId="0" applyNumberFormat="1" applyFont="1" applyFill="1" applyBorder="1" applyAlignment="1">
      <alignment horizontal="center" vertical="center" wrapText="1"/>
    </xf>
    <xf numFmtId="172" fontId="2" fillId="9" borderId="14" xfId="0" applyNumberFormat="1" applyFont="1" applyFill="1" applyBorder="1" applyAlignment="1">
      <alignment horizontal="center" vertical="center" wrapText="1"/>
    </xf>
    <xf numFmtId="0" fontId="54" fillId="3" borderId="38" xfId="0" applyFont="1" applyFill="1" applyBorder="1" applyAlignment="1">
      <alignment horizontal="center" vertical="center" wrapText="1"/>
    </xf>
    <xf numFmtId="165" fontId="2" fillId="19" borderId="43" xfId="0" applyNumberFormat="1" applyFont="1" applyFill="1" applyBorder="1" applyAlignment="1">
      <alignment horizontal="center" vertical="center" wrapText="1"/>
    </xf>
    <xf numFmtId="165" fontId="2" fillId="19" borderId="15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0" fontId="2" fillId="0" borderId="1" xfId="0" applyNumberFormat="1" applyFont="1" applyBorder="1" applyAlignment="1">
      <alignment horizontal="left" vertical="top" wrapText="1"/>
    </xf>
    <xf numFmtId="14" fontId="1" fillId="0" borderId="31" xfId="1" applyNumberFormat="1" applyFont="1" applyBorder="1" applyAlignment="1">
      <alignment horizontal="center" vertical="center" wrapText="1"/>
    </xf>
    <xf numFmtId="14" fontId="1" fillId="0" borderId="18" xfId="1" applyNumberFormat="1" applyFont="1" applyBorder="1" applyAlignment="1">
      <alignment horizontal="center" vertical="center" wrapText="1"/>
    </xf>
    <xf numFmtId="14" fontId="1" fillId="0" borderId="19" xfId="1" applyNumberFormat="1" applyFont="1" applyBorder="1" applyAlignment="1">
      <alignment horizontal="center" vertical="center" wrapText="1"/>
    </xf>
    <xf numFmtId="14" fontId="2" fillId="9" borderId="0" xfId="0" applyNumberFormat="1" applyFont="1" applyFill="1" applyAlignment="1">
      <alignment horizontal="left" vertical="center" wrapText="1"/>
    </xf>
    <xf numFmtId="14" fontId="2" fillId="9" borderId="74" xfId="0" applyNumberFormat="1" applyFont="1" applyFill="1" applyBorder="1" applyAlignment="1">
      <alignment horizontal="left" vertical="center" wrapText="1"/>
    </xf>
    <xf numFmtId="14" fontId="2" fillId="9" borderId="12" xfId="0" applyNumberFormat="1" applyFont="1" applyFill="1" applyBorder="1" applyAlignment="1">
      <alignment horizontal="left" vertical="center" wrapText="1"/>
    </xf>
    <xf numFmtId="14" fontId="2" fillId="9" borderId="13" xfId="0" applyNumberFormat="1" applyFont="1" applyFill="1" applyBorder="1" applyAlignment="1">
      <alignment horizontal="left" vertical="center" wrapText="1"/>
    </xf>
    <xf numFmtId="14" fontId="2" fillId="9" borderId="14" xfId="0" applyNumberFormat="1" applyFont="1" applyFill="1" applyBorder="1" applyAlignment="1">
      <alignment horizontal="left" vertical="center" wrapText="1"/>
    </xf>
    <xf numFmtId="165" fontId="2" fillId="0" borderId="43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55" xfId="0" applyNumberFormat="1" applyFont="1" applyBorder="1" applyAlignment="1">
      <alignment horizontal="center" vertical="center" wrapText="1"/>
    </xf>
    <xf numFmtId="172" fontId="2" fillId="9" borderId="25" xfId="0" applyNumberFormat="1" applyFont="1" applyFill="1" applyBorder="1" applyAlignment="1">
      <alignment horizontal="center" vertical="center" wrapText="1"/>
    </xf>
    <xf numFmtId="172" fontId="2" fillId="9" borderId="26" xfId="0" applyNumberFormat="1" applyFont="1" applyFill="1" applyBorder="1" applyAlignment="1">
      <alignment horizontal="center" vertical="center" wrapText="1"/>
    </xf>
    <xf numFmtId="172" fontId="2" fillId="9" borderId="27" xfId="0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10" fontId="2" fillId="0" borderId="96" xfId="0" applyNumberFormat="1" applyFont="1" applyBorder="1" applyAlignment="1">
      <alignment horizontal="center" vertical="center" wrapText="1"/>
    </xf>
    <xf numFmtId="10" fontId="2" fillId="0" borderId="97" xfId="0" applyNumberFormat="1" applyFont="1" applyBorder="1" applyAlignment="1">
      <alignment horizontal="center" vertical="center" wrapText="1"/>
    </xf>
    <xf numFmtId="10" fontId="2" fillId="0" borderId="98" xfId="0" applyNumberFormat="1" applyFont="1" applyBorder="1" applyAlignment="1">
      <alignment horizontal="center" vertical="center" wrapText="1"/>
    </xf>
    <xf numFmtId="49" fontId="3" fillId="19" borderId="1" xfId="0" applyNumberFormat="1" applyFont="1" applyFill="1" applyBorder="1" applyAlignment="1">
      <alignment horizontal="center" vertical="center" wrapText="1"/>
    </xf>
    <xf numFmtId="4" fontId="8" fillId="0" borderId="68" xfId="0" applyNumberFormat="1" applyFont="1" applyBorder="1" applyAlignment="1">
      <alignment horizontal="center" vertical="center" wrapText="1"/>
    </xf>
    <xf numFmtId="4" fontId="8" fillId="0" borderId="69" xfId="0" applyNumberFormat="1" applyFont="1" applyBorder="1" applyAlignment="1">
      <alignment horizontal="center" vertical="center" wrapText="1"/>
    </xf>
    <xf numFmtId="4" fontId="8" fillId="0" borderId="70" xfId="0" applyNumberFormat="1" applyFont="1" applyBorder="1" applyAlignment="1">
      <alignment horizontal="center" vertical="center" wrapText="1"/>
    </xf>
    <xf numFmtId="9" fontId="2" fillId="0" borderId="25" xfId="0" applyNumberFormat="1" applyFont="1" applyBorder="1" applyAlignment="1">
      <alignment horizontal="center" vertical="center" wrapText="1"/>
    </xf>
    <xf numFmtId="4" fontId="2" fillId="0" borderId="26" xfId="0" applyNumberFormat="1" applyFont="1" applyBorder="1" applyAlignment="1">
      <alignment horizontal="center" vertical="center" wrapText="1"/>
    </xf>
    <xf numFmtId="4" fontId="2" fillId="0" borderId="27" xfId="0" applyNumberFormat="1" applyFont="1" applyBorder="1" applyAlignment="1">
      <alignment horizontal="center" vertical="center" wrapText="1"/>
    </xf>
    <xf numFmtId="10" fontId="2" fillId="0" borderId="18" xfId="0" applyNumberFormat="1" applyFont="1" applyBorder="1" applyAlignment="1">
      <alignment horizontal="left" vertical="center" wrapText="1"/>
    </xf>
    <xf numFmtId="10" fontId="2" fillId="0" borderId="19" xfId="0" applyNumberFormat="1" applyFont="1" applyBorder="1" applyAlignment="1">
      <alignment horizontal="left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4" fontId="2" fillId="0" borderId="14" xfId="0" applyNumberFormat="1" applyFont="1" applyBorder="1" applyAlignment="1">
      <alignment horizontal="center" vertical="center" wrapText="1"/>
    </xf>
    <xf numFmtId="49" fontId="3" fillId="10" borderId="43" xfId="0" applyNumberFormat="1" applyFont="1" applyFill="1" applyBorder="1" applyAlignment="1">
      <alignment horizontal="center" vertical="center" wrapText="1"/>
    </xf>
    <xf numFmtId="49" fontId="3" fillId="10" borderId="15" xfId="0" applyNumberFormat="1" applyFont="1" applyFill="1" applyBorder="1" applyAlignment="1">
      <alignment horizontal="center" vertical="center" wrapText="1"/>
    </xf>
    <xf numFmtId="165" fontId="2" fillId="28" borderId="43" xfId="0" applyNumberFormat="1" applyFont="1" applyFill="1" applyBorder="1" applyAlignment="1">
      <alignment horizontal="center" vertical="center" wrapText="1"/>
    </xf>
    <xf numFmtId="165" fontId="2" fillId="28" borderId="55" xfId="0" applyNumberFormat="1" applyFont="1" applyFill="1" applyBorder="1" applyAlignment="1">
      <alignment horizontal="center" vertical="center" wrapText="1"/>
    </xf>
    <xf numFmtId="165" fontId="2" fillId="28" borderId="15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8" fillId="0" borderId="38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165" fontId="3" fillId="4" borderId="23" xfId="0" applyNumberFormat="1" applyFont="1" applyFill="1" applyBorder="1" applyAlignment="1">
      <alignment horizontal="left" vertical="center" wrapText="1"/>
    </xf>
    <xf numFmtId="165" fontId="3" fillId="4" borderId="72" xfId="0" applyNumberFormat="1" applyFont="1" applyFill="1" applyBorder="1" applyAlignment="1">
      <alignment horizontal="left" vertical="center" wrapText="1"/>
    </xf>
    <xf numFmtId="165" fontId="3" fillId="4" borderId="32" xfId="0" applyNumberFormat="1" applyFont="1" applyFill="1" applyBorder="1" applyAlignment="1">
      <alignment horizontal="left" vertical="center" wrapText="1"/>
    </xf>
    <xf numFmtId="10" fontId="2" fillId="0" borderId="25" xfId="0" applyNumberFormat="1" applyFont="1" applyBorder="1" applyAlignment="1">
      <alignment horizontal="center" vertical="center" wrapText="1"/>
    </xf>
    <xf numFmtId="10" fontId="2" fillId="0" borderId="26" xfId="0" applyNumberFormat="1" applyFont="1" applyBorder="1" applyAlignment="1">
      <alignment horizontal="center" vertical="center" wrapText="1"/>
    </xf>
    <xf numFmtId="10" fontId="2" fillId="0" borderId="27" xfId="0" applyNumberFormat="1" applyFont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2" fillId="0" borderId="74" xfId="0" applyNumberFormat="1" applyFont="1" applyBorder="1" applyAlignment="1">
      <alignment horizontal="center" vertical="center" wrapText="1"/>
    </xf>
    <xf numFmtId="10" fontId="2" fillId="0" borderId="28" xfId="0" applyNumberFormat="1" applyFont="1" applyBorder="1" applyAlignment="1">
      <alignment horizontal="center" vertical="center" wrapText="1"/>
    </xf>
    <xf numFmtId="10" fontId="2" fillId="0" borderId="29" xfId="0" applyNumberFormat="1" applyFont="1" applyBorder="1" applyAlignment="1">
      <alignment horizontal="center" vertical="center" wrapText="1"/>
    </xf>
    <xf numFmtId="10" fontId="2" fillId="0" borderId="90" xfId="0" applyNumberFormat="1" applyFont="1" applyBorder="1" applyAlignment="1">
      <alignment horizontal="center" vertical="center" wrapText="1"/>
    </xf>
    <xf numFmtId="0" fontId="14" fillId="3" borderId="63" xfId="0" applyFont="1" applyFill="1" applyBorder="1" applyAlignment="1">
      <alignment horizontal="center" vertical="center" wrapText="1"/>
    </xf>
    <xf numFmtId="165" fontId="6" fillId="5" borderId="80" xfId="0" applyNumberFormat="1" applyFont="1" applyFill="1" applyBorder="1" applyAlignment="1">
      <alignment horizontal="center" vertical="center" wrapText="1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horizontal="center" vertical="center" wrapText="1"/>
    </xf>
    <xf numFmtId="10" fontId="1" fillId="0" borderId="14" xfId="0" applyNumberFormat="1" applyFont="1" applyBorder="1" applyAlignment="1">
      <alignment horizontal="center" vertical="center" wrapText="1"/>
    </xf>
    <xf numFmtId="165" fontId="3" fillId="4" borderId="76" xfId="0" applyNumberFormat="1" applyFont="1" applyFill="1" applyBorder="1" applyAlignment="1">
      <alignment horizontal="left" vertical="center" wrapText="1"/>
    </xf>
    <xf numFmtId="10" fontId="2" fillId="0" borderId="73" xfId="0" applyNumberFormat="1" applyFont="1" applyBorder="1" applyAlignment="1">
      <alignment horizontal="center" vertical="center" wrapText="1"/>
    </xf>
    <xf numFmtId="10" fontId="2" fillId="0" borderId="77" xfId="0" applyNumberFormat="1" applyFont="1" applyBorder="1" applyAlignment="1">
      <alignment horizontal="center" vertical="center" wrapText="1"/>
    </xf>
    <xf numFmtId="10" fontId="2" fillId="0" borderId="18" xfId="0" applyNumberFormat="1" applyFont="1" applyBorder="1" applyAlignment="1">
      <alignment horizontal="center" vertical="center" wrapText="1"/>
    </xf>
    <xf numFmtId="10" fontId="2" fillId="0" borderId="78" xfId="0" applyNumberFormat="1" applyFont="1" applyBorder="1" applyAlignment="1">
      <alignment horizontal="center" vertical="center" wrapText="1"/>
    </xf>
    <xf numFmtId="169" fontId="21" fillId="7" borderId="3" xfId="0" applyNumberFormat="1" applyFont="1" applyFill="1" applyBorder="1" applyAlignment="1">
      <alignment horizontal="center" vertical="center" wrapText="1"/>
    </xf>
    <xf numFmtId="169" fontId="21" fillId="7" borderId="4" xfId="0" applyNumberFormat="1" applyFont="1" applyFill="1" applyBorder="1" applyAlignment="1">
      <alignment horizontal="center" vertical="center" wrapText="1"/>
    </xf>
    <xf numFmtId="169" fontId="21" fillId="7" borderId="5" xfId="0" applyNumberFormat="1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165" fontId="6" fillId="5" borderId="10" xfId="0" applyNumberFormat="1" applyFont="1" applyFill="1" applyBorder="1" applyAlignment="1">
      <alignment horizontal="center" vertical="center" wrapText="1"/>
    </xf>
    <xf numFmtId="165" fontId="6" fillId="5" borderId="64" xfId="0" applyNumberFormat="1" applyFont="1" applyFill="1" applyBorder="1" applyAlignment="1">
      <alignment horizontal="center" vertical="center" wrapText="1"/>
    </xf>
    <xf numFmtId="165" fontId="2" fillId="17" borderId="65" xfId="0" applyNumberFormat="1" applyFont="1" applyFill="1" applyBorder="1" applyAlignment="1">
      <alignment horizontal="center" vertical="center" wrapText="1"/>
    </xf>
    <xf numFmtId="165" fontId="2" fillId="17" borderId="66" xfId="0" applyNumberFormat="1" applyFont="1" applyFill="1" applyBorder="1" applyAlignment="1">
      <alignment horizontal="center" vertical="center" wrapText="1"/>
    </xf>
    <xf numFmtId="165" fontId="2" fillId="17" borderId="67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169" fontId="21" fillId="7" borderId="1" xfId="0" applyNumberFormat="1" applyFont="1" applyFill="1" applyBorder="1" applyAlignment="1">
      <alignment horizontal="center" vertical="center" wrapText="1"/>
    </xf>
    <xf numFmtId="169" fontId="19" fillId="0" borderId="43" xfId="0" applyNumberFormat="1" applyFont="1" applyBorder="1" applyAlignment="1">
      <alignment horizontal="center" vertical="center" wrapText="1"/>
    </xf>
    <xf numFmtId="169" fontId="19" fillId="0" borderId="15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8" fontId="35" fillId="0" borderId="1" xfId="0" applyNumberFormat="1" applyFont="1" applyBorder="1" applyAlignment="1">
      <alignment horizontal="center" vertical="center" wrapText="1"/>
    </xf>
    <xf numFmtId="8" fontId="35" fillId="0" borderId="38" xfId="0" applyNumberFormat="1" applyFont="1" applyBorder="1" applyAlignment="1">
      <alignment horizontal="center" vertical="center" wrapText="1"/>
    </xf>
    <xf numFmtId="8" fontId="35" fillId="0" borderId="39" xfId="0" applyNumberFormat="1" applyFont="1" applyBorder="1" applyAlignment="1">
      <alignment horizontal="center" vertical="center" wrapText="1"/>
    </xf>
    <xf numFmtId="8" fontId="35" fillId="0" borderId="42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8" fontId="35" fillId="0" borderId="12" xfId="0" applyNumberFormat="1" applyFont="1" applyBorder="1" applyAlignment="1">
      <alignment horizontal="center" vertical="center" wrapText="1"/>
    </xf>
    <xf numFmtId="8" fontId="35" fillId="0" borderId="13" xfId="0" applyNumberFormat="1" applyFont="1" applyBorder="1" applyAlignment="1">
      <alignment horizontal="center" vertical="center" wrapText="1"/>
    </xf>
    <xf numFmtId="8" fontId="35" fillId="0" borderId="14" xfId="0" applyNumberFormat="1" applyFont="1" applyBorder="1" applyAlignment="1">
      <alignment horizontal="center" vertical="center" wrapText="1"/>
    </xf>
    <xf numFmtId="8" fontId="22" fillId="0" borderId="12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left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64" fontId="14" fillId="3" borderId="4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9" fontId="22" fillId="0" borderId="12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9" fontId="22" fillId="0" borderId="13" xfId="0" applyNumberFormat="1" applyFont="1" applyBorder="1" applyAlignment="1">
      <alignment horizontal="center" vertical="center" wrapText="1"/>
    </xf>
    <xf numFmtId="9" fontId="22" fillId="0" borderId="14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left" vertical="center" wrapText="1"/>
    </xf>
    <xf numFmtId="49" fontId="13" fillId="0" borderId="13" xfId="0" applyNumberFormat="1" applyFont="1" applyBorder="1" applyAlignment="1">
      <alignment horizontal="left" vertical="center" wrapText="1"/>
    </xf>
    <xf numFmtId="49" fontId="13" fillId="0" borderId="14" xfId="0" applyNumberFormat="1" applyFont="1" applyBorder="1" applyAlignment="1">
      <alignment horizontal="left" vertical="center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675248</xdr:colOff>
      <xdr:row>1526</xdr:row>
      <xdr:rowOff>314323</xdr:rowOff>
    </xdr:from>
    <xdr:to>
      <xdr:col>10</xdr:col>
      <xdr:colOff>666188</xdr:colOff>
      <xdr:row>1533</xdr:row>
      <xdr:rowOff>2736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984661" y="505250823"/>
          <a:ext cx="6977674" cy="3619995"/>
        </a:xfrm>
        <a:prstGeom prst="rect">
          <a:avLst/>
        </a:prstGeom>
      </xdr:spPr>
    </xdr:pic>
    <xdr:clientData/>
  </xdr:twoCellAnchor>
  <xdr:twoCellAnchor editAs="oneCell">
    <xdr:from>
      <xdr:col>6</xdr:col>
      <xdr:colOff>412749</xdr:colOff>
      <xdr:row>2662</xdr:row>
      <xdr:rowOff>79372</xdr:rowOff>
    </xdr:from>
    <xdr:to>
      <xdr:col>8</xdr:col>
      <xdr:colOff>653529</xdr:colOff>
      <xdr:row>2676</xdr:row>
      <xdr:rowOff>364170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731500" y="857250000"/>
          <a:ext cx="4161905" cy="3888422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1174749</xdr:colOff>
      <xdr:row>2708</xdr:row>
      <xdr:rowOff>95249</xdr:rowOff>
    </xdr:from>
    <xdr:to>
      <xdr:col>8</xdr:col>
      <xdr:colOff>188276</xdr:colOff>
      <xdr:row>2722</xdr:row>
      <xdr:rowOff>84666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1472333" y="891973917"/>
          <a:ext cx="2934653" cy="3714750"/>
        </a:xfrm>
        <a:prstGeom prst="rect">
          <a:avLst/>
        </a:prstGeom>
      </xdr:spPr>
    </xdr:pic>
    <xdr:clientData/>
  </xdr:twoCellAnchor>
  <xdr:twoCellAnchor editAs="oneCell">
    <xdr:from>
      <xdr:col>6</xdr:col>
      <xdr:colOff>1206498</xdr:colOff>
      <xdr:row>2723</xdr:row>
      <xdr:rowOff>224561</xdr:rowOff>
    </xdr:from>
    <xdr:to>
      <xdr:col>8</xdr:col>
      <xdr:colOff>229242</xdr:colOff>
      <xdr:row>2735</xdr:row>
      <xdr:rowOff>158296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1504082" y="896061395"/>
          <a:ext cx="2943869" cy="32145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Ольга Говырина" id="{E842A01A-B80B-43D2-7B8E-FC047FCF59E1}" userId="1130000066349446" providerId="Teamlab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484" dT="2025-12-26T06:31:02.14Z" personId="{E842A01A-B80B-43D2-7B8E-FC047FCF59E1}" id="{90CB2854-2D2E-6843-E5A9-46A81713D752}" done="0">
    <text xml:space="preserve">Убрать НДС 5% Итого Стоимость проекта 28 954 952 р
</text>
  </threadedComment>
  <threadedComment ref="D2403" dT="2025-12-26T06:31:02.14Z" personId="{E842A01A-B80B-43D2-7B8E-FC047FCF59E1}" id="{0056004E-003A-4377-8340-0082003700C7}" done="0">
    <text xml:space="preserve">Убрать НДС 5% Итого Стоимость проекта 28 954 952 р
</text>
  </threadedComment>
  <threadedComment ref="D2610" dT="2025-12-26T06:31:02.14Z" personId="{E842A01A-B80B-43D2-7B8E-FC047FCF59E1}" id="{00CA00FD-008F-439E-93F1-00A700500020}" done="0">
    <text xml:space="preserve">Убрать НДС 5% Итого Стоимость проекта 28 954 952 р
</text>
  </threadedComment>
  <threadedComment ref="D2657" dT="2025-12-26T06:31:02.14Z" personId="{E842A01A-B80B-43D2-7B8E-FC047FCF59E1}" id="{00590070-00B6-4B2A-AB25-00E400C10088}" done="0">
    <text xml:space="preserve">Убрать НДС 5% Итого Стоимость проекта 28 954 952 р
</text>
  </threadedComment>
  <threadedComment ref="D2704" dT="2025-12-26T06:31:02.14Z" personId="{E842A01A-B80B-43D2-7B8E-FC047FCF59E1}" id="{001600E8-00B7-4C82-93CA-006A00050011}" done="0">
    <text xml:space="preserve">Убрать НДС 5% Итого Стоимость проекта 28 954 952 р
</text>
  </threadedComment>
  <threadedComment ref="D2751" dT="2025-12-26T06:31:02.14Z" personId="{E842A01A-B80B-43D2-7B8E-FC047FCF59E1}" id="{D6E18942-903C-9722-1297-6BD50DFAE537}" done="0">
    <text xml:space="preserve">Убрать НДС 5% Итого Стоимость проекта 28 954 952 р
</text>
  </threadedComment>
  <threadedComment ref="D2798" dT="2025-12-26T06:31:02.14Z" personId="{E842A01A-B80B-43D2-7B8E-FC047FCF59E1}" id="{AA8691B1-9C5F-486D-FB00-15ABA14FA7AE}" done="0">
    <text xml:space="preserve">Убрать НДС 5% Итого Стоимость проекта 28 954 952 р
</text>
  </threadedComment>
  <threadedComment ref="D2845" dT="2025-12-26T06:31:02.14Z" personId="{E842A01A-B80B-43D2-7B8E-FC047FCF59E1}" id="{5FCE3F24-A531-A9E2-6D3C-6017F37EFFE6}" done="0">
    <text xml:space="preserve">Убрать НДС 5% Итого Стоимость проекта 28 954 952 р
</text>
  </threadedComment>
  <threadedComment ref="D2942" dT="2025-12-26T06:31:02.14Z" personId="{E842A01A-B80B-43D2-7B8E-FC047FCF59E1}" id="{00A3002B-00BE-4378-A0EC-00770049000B}" done="0">
    <text xml:space="preserve">Убрать НДС 5% Итого Стоимость проекта 28 954 952 р
</text>
  </threadedComment>
  <threadedComment ref="D2991" dT="2025-12-26T06:31:02.14Z" personId="{E842A01A-B80B-43D2-7B8E-FC047FCF59E1}" id="{000000E8-0039-42A0-9260-00B300D1001E}" done="0">
    <text xml:space="preserve">Убрать НДС 5% Итого Стоимость проекта 28 954 952 р
</text>
  </threadedComment>
</ThreadedComment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zakupki.gov.ru/epz/order/notice/notice223/documents.html?noticeInfoId=19301275" TargetMode="External"/><Relationship Id="rId18" Type="http://schemas.openxmlformats.org/officeDocument/2006/relationships/hyperlink" Target="https://disk.360.yandex.ru/d/kldUo5jpK-7x8w" TargetMode="External"/><Relationship Id="rId26" Type="http://schemas.openxmlformats.org/officeDocument/2006/relationships/hyperlink" Target="https://disk.yandex.ru/d/qhPm9IFOBjcvLg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zakupki.kontur.ru/0360300225126000003?utm_source=zakupki&amp;utm_medium=excel&amp;utm_campaign=zakupki_export&amp;utm_content=e9f51aa1-e3e5-4f97-8ee7-a8d39d80cbf9" TargetMode="External"/><Relationship Id="rId34" Type="http://schemas.openxmlformats.org/officeDocument/2006/relationships/hyperlink" Target="https://disk.360.yandex.ru/d/ZTnbZdFLx9QVsQ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https://disk.yandex.ru/d/0cQR1sRbU7M0lw" TargetMode="External"/><Relationship Id="rId2" Type="http://schemas.openxmlformats.org/officeDocument/2006/relationships/hyperlink" Target="https://disk.yandex.ru/d/X6ZOPBNeoFzjzA" TargetMode="External"/><Relationship Id="rId16" Type="http://schemas.openxmlformats.org/officeDocument/2006/relationships/hyperlink" Target="file:///\\Server_Craft\&#1056;&#1072;&#1073;&#1086;&#1095;&#1072;&#1103;\01__&#1050;&#1051;&#1048;&#1045;&#1053;&#1058;&#1067;\&#1055;&#1056;&#1045;&#1044;&#1042;&#1040;&#1056;&#1048;&#1058;&#1045;&#1051;&#1068;&#1053;&#1067;&#1045;%20&#1047;&#1040;&#1055;&#1056;&#1054;&#1057;&#1067;\&#1061;&#1052;&#1040;&#1054;\&#1050;&#1086;&#1075;&#1072;&#1083;&#1099;&#1084;\02_&#1050;&#1086;&#1090;&#1077;&#1083;&#1100;&#1085;&#1072;&#1103;%20N6%20-%20&#1055;&#1052;&#1050;-177" TargetMode="External"/><Relationship Id="rId20" Type="http://schemas.openxmlformats.org/officeDocument/2006/relationships/hyperlink" Target="https://zakupki.kontur.ru/0360300225126000003?utm_source=zakupki&amp;utm_medium=excel&amp;utm_campaign=zakupki_export&amp;utm_content=e9f51aa1-e3e5-4f97-8ee7-a8d39d80cbf9" TargetMode="External"/><Relationship Id="rId29" Type="http://schemas.openxmlformats.org/officeDocument/2006/relationships/hyperlink" Target="https://zakupki.gov.ru/epz/order/notice/ok20/view/documents.html?regNumber=0362100027926000009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disk.yandex.ru/d/upONPJLuJz9H_g" TargetMode="External"/><Relationship Id="rId6" Type="http://schemas.openxmlformats.org/officeDocument/2006/relationships/hyperlink" Target="https://zakupki.gov.ru/epz/order/notice/ok20/view/documents.html?regNumber=0187200001725002248" TargetMode="External"/><Relationship Id="rId11" Type="http://schemas.openxmlformats.org/officeDocument/2006/relationships/hyperlink" Target="https://zakupki.gov.ru/epz/order/notice/notice223/documents.html?noticeInfoId=19303352" TargetMode="External"/><Relationship Id="rId24" Type="http://schemas.openxmlformats.org/officeDocument/2006/relationships/hyperlink" Target="https://disk.yandex.ru/d/zi32IT_qneofpw" TargetMode="External"/><Relationship Id="rId32" Type="http://schemas.openxmlformats.org/officeDocument/2006/relationships/hyperlink" Target="https://zakupki.gov.ru/epz/order/notice/ea20/view/common-info.html?regNumber=0162200011826001256" TargetMode="External"/><Relationship Id="rId37" Type="http://schemas.openxmlformats.org/officeDocument/2006/relationships/hyperlink" Target="https://zakupki.gov.ru/epz/order/notice/ok20/view/documents.html?regNumber=0187200001726000650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s://disk.yandex.ru/d/23k0wvU_-1Socw" TargetMode="External"/><Relationship Id="rId15" Type="http://schemas.openxmlformats.org/officeDocument/2006/relationships/hyperlink" Target="https://zakupki.gov.ru/epz/order/notice/ok20/view/documents.html?regNumber=0187300014725002337" TargetMode="External"/><Relationship Id="rId23" Type="http://schemas.openxmlformats.org/officeDocument/2006/relationships/hyperlink" Target="https://zakupki.gov.ru/epz/order/notice/ea20/view/common-info.html?regNumber=0843500000226001009" TargetMode="External"/><Relationship Id="rId28" Type="http://schemas.openxmlformats.org/officeDocument/2006/relationships/hyperlink" Target="https://disk.yandex.ru/d/qhPm9IFOBjcvLg" TargetMode="External"/><Relationship Id="rId36" Type="http://schemas.openxmlformats.org/officeDocument/2006/relationships/hyperlink" Target="https://disk.yandex.ru/d/PzVajxepes8UzA" TargetMode="External"/><Relationship Id="rId10" Type="http://schemas.openxmlformats.org/officeDocument/2006/relationships/hyperlink" Target="https://disk.yandex.ru/d/c_yRd0fMfmvvJw" TargetMode="External"/><Relationship Id="rId19" Type="http://schemas.openxmlformats.org/officeDocument/2006/relationships/hyperlink" Target="https://disk.360.yandex.ru/d/kldUo5jpK-7x8w" TargetMode="External"/><Relationship Id="rId31" Type="http://schemas.openxmlformats.org/officeDocument/2006/relationships/hyperlink" Target="https://zakupki.gov.ru/epz/order/notice/ea20/view/common-info.html?regNumber=0367100001026000017" TargetMode="External"/><Relationship Id="rId4" Type="http://schemas.openxmlformats.org/officeDocument/2006/relationships/hyperlink" Target="https://zakupki.gov.ru/epz/order/notice/ok20/view/documents.html?regNumber=0187300008125000553" TargetMode="External"/><Relationship Id="rId9" Type="http://schemas.openxmlformats.org/officeDocument/2006/relationships/hyperlink" Target="https://zakupki.gov.ru/epz/order/notice/ok20/view/documents.html?regNumber=0373200014226000019" TargetMode="External"/><Relationship Id="rId14" Type="http://schemas.openxmlformats.org/officeDocument/2006/relationships/hyperlink" Target="https://disk.yandex.ru/d/iCWd4qNvGzAjlA" TargetMode="External"/><Relationship Id="rId22" Type="http://schemas.openxmlformats.org/officeDocument/2006/relationships/hyperlink" Target="https://disk.yandex.ru/d/UyhnaRhlfURnlA" TargetMode="External"/><Relationship Id="rId27" Type="http://schemas.openxmlformats.org/officeDocument/2006/relationships/hyperlink" Target="https://zakupki.gov.ru/epz/order/notice/ok20/view/documents.html?regNumber=0362100027926000009" TargetMode="External"/><Relationship Id="rId30" Type="http://schemas.openxmlformats.org/officeDocument/2006/relationships/hyperlink" Target="https://disk.yandex.ru/d/paQ07PY5xlAtiA" TargetMode="External"/><Relationship Id="rId35" Type="http://schemas.openxmlformats.org/officeDocument/2006/relationships/hyperlink" Target="https://zakupki.gov.ru/epz/order/notice/ok20/view/documents.html?regNumber=0187300012826000198" TargetMode="External"/><Relationship Id="rId8" Type="http://schemas.openxmlformats.org/officeDocument/2006/relationships/hyperlink" Target="https://zakupki.gov.ru/epz/order/notice/ok20/view/common-info.html?regNumber=0190300002125000741" TargetMode="External"/><Relationship Id="rId3" Type="http://schemas.openxmlformats.org/officeDocument/2006/relationships/hyperlink" Target="https://disk.yandex.ru/d/yL2faWYgf705Gw" TargetMode="External"/><Relationship Id="rId12" Type="http://schemas.openxmlformats.org/officeDocument/2006/relationships/hyperlink" Target="https://disk.yandex.ru/d/O38_u_UasiS_TA" TargetMode="External"/><Relationship Id="rId17" Type="http://schemas.openxmlformats.org/officeDocument/2006/relationships/hyperlink" Target="https://zakupki.gov.ru/epz/order/notice/ok20/view/documents.html?regNumber=0373200041126000024" TargetMode="External"/><Relationship Id="rId25" Type="http://schemas.openxmlformats.org/officeDocument/2006/relationships/hyperlink" Target="https://zakupki.gov.ru/epz/order/notice/zk20/view/documents.html?regNumber=0387300016826000014" TargetMode="External"/><Relationship Id="rId33" Type="http://schemas.openxmlformats.org/officeDocument/2006/relationships/hyperlink" Target="https://zakupki.gov.ru/epz/order/notice/ea20/view/common-info.html?regNumber=0162200011826001258" TargetMode="External"/><Relationship Id="rId3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J1000"/>
  <sheetViews>
    <sheetView zoomScale="85" workbookViewId="0">
      <pane ySplit="1" topLeftCell="A2" activePane="bottomLeft" state="frozen"/>
      <selection pane="bottomLeft"/>
    </sheetView>
  </sheetViews>
  <sheetFormatPr defaultColWidth="10.42578125" defaultRowHeight="15.75" x14ac:dyDescent="0.2"/>
  <cols>
    <col min="1" max="1" width="7.42578125" style="2" customWidth="1"/>
    <col min="2" max="2" width="79" style="3" customWidth="1"/>
    <col min="3" max="3" width="19" style="4" customWidth="1"/>
    <col min="4" max="4" width="22.5703125" style="3" customWidth="1"/>
    <col min="5" max="5" width="25.28515625" style="3" customWidth="1"/>
    <col min="6" max="6" width="36.7109375" style="3" customWidth="1"/>
    <col min="7" max="7" width="68" style="1" customWidth="1"/>
    <col min="8" max="8" width="26" style="1" customWidth="1"/>
    <col min="9" max="9" width="21" style="1" customWidth="1"/>
    <col min="10" max="10" width="18.28515625" style="1" customWidth="1"/>
    <col min="11" max="16384" width="10.42578125" style="1"/>
  </cols>
  <sheetData>
    <row r="1" spans="1:6" x14ac:dyDescent="0.2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</row>
    <row r="2" spans="1:6" ht="22.5" customHeight="1" x14ac:dyDescent="0.2">
      <c r="A2" s="882" t="s">
        <v>6</v>
      </c>
      <c r="B2" s="830"/>
      <c r="C2" s="831"/>
      <c r="D2" s="830"/>
      <c r="E2" s="830"/>
      <c r="F2" s="832"/>
    </row>
    <row r="3" spans="1:6" x14ac:dyDescent="0.2">
      <c r="A3" s="8">
        <v>1</v>
      </c>
      <c r="B3" s="9" t="s">
        <v>7</v>
      </c>
      <c r="C3" s="10"/>
      <c r="D3" s="883">
        <v>830000</v>
      </c>
      <c r="E3" s="884"/>
      <c r="F3" s="885"/>
    </row>
    <row r="4" spans="1:6" ht="13.5" customHeight="1" x14ac:dyDescent="0.2">
      <c r="A4" s="11">
        <v>2</v>
      </c>
      <c r="B4" s="12" t="s">
        <v>8</v>
      </c>
      <c r="C4" s="10"/>
      <c r="D4" s="13">
        <v>70748</v>
      </c>
      <c r="E4" s="14">
        <v>70748</v>
      </c>
      <c r="F4" s="15"/>
    </row>
    <row r="5" spans="1:6" x14ac:dyDescent="0.2">
      <c r="A5" s="11">
        <v>3</v>
      </c>
      <c r="B5" s="12" t="s">
        <v>9</v>
      </c>
      <c r="C5" s="16">
        <v>0.1</v>
      </c>
      <c r="D5" s="14">
        <v>37962.6</v>
      </c>
      <c r="E5" s="14"/>
      <c r="F5" s="14" t="s">
        <v>10</v>
      </c>
    </row>
    <row r="6" spans="1:6" x14ac:dyDescent="0.2">
      <c r="A6" s="11">
        <v>4</v>
      </c>
      <c r="B6" s="12" t="s">
        <v>11</v>
      </c>
      <c r="C6" s="16">
        <v>0.05</v>
      </c>
      <c r="D6" s="14">
        <v>18981.3</v>
      </c>
      <c r="E6" s="14"/>
      <c r="F6" s="14" t="s">
        <v>10</v>
      </c>
    </row>
    <row r="7" spans="1:6" x14ac:dyDescent="0.2">
      <c r="A7" s="11">
        <v>5</v>
      </c>
      <c r="B7" s="17" t="s">
        <v>12</v>
      </c>
      <c r="C7" s="18">
        <v>0</v>
      </c>
      <c r="D7" s="19">
        <v>0</v>
      </c>
      <c r="E7" s="14"/>
      <c r="F7" s="14"/>
    </row>
    <row r="8" spans="1:6" x14ac:dyDescent="0.2">
      <c r="A8" s="20">
        <v>6</v>
      </c>
      <c r="B8" s="21" t="s">
        <v>13</v>
      </c>
      <c r="C8" s="22">
        <v>0</v>
      </c>
      <c r="D8" s="23">
        <v>0</v>
      </c>
      <c r="E8" s="24"/>
      <c r="F8" s="14"/>
    </row>
    <row r="9" spans="1:6" x14ac:dyDescent="0.2">
      <c r="A9" s="20">
        <v>7</v>
      </c>
      <c r="B9" s="21" t="s">
        <v>14</v>
      </c>
      <c r="C9" s="22">
        <v>0</v>
      </c>
      <c r="D9" s="23">
        <v>0</v>
      </c>
      <c r="E9" s="24"/>
      <c r="F9" s="14"/>
    </row>
    <row r="10" spans="1:6" x14ac:dyDescent="0.2">
      <c r="A10" s="20">
        <v>8</v>
      </c>
      <c r="B10" s="21" t="s">
        <v>15</v>
      </c>
      <c r="C10" s="22">
        <v>7.0000000000000007E-2</v>
      </c>
      <c r="D10" s="23">
        <v>26573.82</v>
      </c>
      <c r="E10" s="24"/>
      <c r="F10" s="14"/>
    </row>
    <row r="11" spans="1:6" x14ac:dyDescent="0.2">
      <c r="A11" s="20">
        <v>9</v>
      </c>
      <c r="B11" s="21" t="s">
        <v>16</v>
      </c>
      <c r="C11" s="22">
        <v>0.4</v>
      </c>
      <c r="D11" s="23">
        <v>151850.4</v>
      </c>
      <c r="E11" s="24"/>
      <c r="F11" s="14" t="s">
        <v>10</v>
      </c>
    </row>
    <row r="12" spans="1:6" x14ac:dyDescent="0.2">
      <c r="A12" s="20">
        <v>10</v>
      </c>
      <c r="B12" s="21" t="s">
        <v>17</v>
      </c>
      <c r="C12" s="22">
        <v>0.2</v>
      </c>
      <c r="D12" s="23">
        <v>75925.2</v>
      </c>
      <c r="E12" s="24"/>
      <c r="F12" s="14" t="s">
        <v>10</v>
      </c>
    </row>
    <row r="13" spans="1:6" x14ac:dyDescent="0.2">
      <c r="A13" s="20">
        <v>11</v>
      </c>
      <c r="B13" s="21" t="s">
        <v>18</v>
      </c>
      <c r="C13" s="22">
        <v>0.05</v>
      </c>
      <c r="D13" s="23">
        <v>18981.3</v>
      </c>
      <c r="E13" s="24"/>
      <c r="F13" s="14"/>
    </row>
    <row r="14" spans="1:6" ht="31.5" x14ac:dyDescent="0.2">
      <c r="A14" s="20">
        <v>12</v>
      </c>
      <c r="B14" s="21" t="s">
        <v>19</v>
      </c>
      <c r="C14" s="22">
        <v>3.5000000000000003E-2</v>
      </c>
      <c r="D14" s="23">
        <v>13286.91</v>
      </c>
      <c r="E14" s="24"/>
      <c r="F14" s="14" t="s">
        <v>10</v>
      </c>
    </row>
    <row r="15" spans="1:6" x14ac:dyDescent="0.2">
      <c r="A15" s="20">
        <v>13</v>
      </c>
      <c r="B15" s="21" t="s">
        <v>20</v>
      </c>
      <c r="C15" s="22"/>
      <c r="D15" s="23"/>
      <c r="E15" s="24">
        <v>10000</v>
      </c>
      <c r="F15" s="14" t="s">
        <v>21</v>
      </c>
    </row>
    <row r="16" spans="1:6" x14ac:dyDescent="0.2">
      <c r="A16" s="25"/>
      <c r="B16" s="26" t="s">
        <v>22</v>
      </c>
      <c r="C16" s="27"/>
      <c r="D16" s="28">
        <f>SUM(D4:D14)</f>
        <v>414309.52999999997</v>
      </c>
      <c r="E16" s="29">
        <f>SUM(E4:E15)</f>
        <v>80748</v>
      </c>
      <c r="F16" s="30"/>
    </row>
    <row r="17" spans="1:6" x14ac:dyDescent="0.2">
      <c r="A17" s="31"/>
      <c r="B17" s="32" t="s">
        <v>23</v>
      </c>
      <c r="C17" s="27"/>
      <c r="D17" s="33"/>
      <c r="E17" s="34">
        <f>D3-E16</f>
        <v>749252</v>
      </c>
      <c r="F17" s="35" t="s">
        <v>24</v>
      </c>
    </row>
    <row r="18" spans="1:6" x14ac:dyDescent="0.2">
      <c r="A18" s="36"/>
      <c r="B18" s="37"/>
      <c r="C18" s="37"/>
      <c r="D18" s="37"/>
      <c r="E18" s="37"/>
      <c r="F18" s="38"/>
    </row>
    <row r="19" spans="1:6" ht="25.5" customHeight="1" x14ac:dyDescent="0.2">
      <c r="A19" s="886" t="s">
        <v>25</v>
      </c>
      <c r="B19" s="887"/>
      <c r="C19" s="888"/>
      <c r="D19" s="887"/>
      <c r="E19" s="887"/>
      <c r="F19" s="887"/>
    </row>
    <row r="20" spans="1:6" x14ac:dyDescent="0.2">
      <c r="A20" s="39">
        <v>1</v>
      </c>
      <c r="B20" s="40" t="s">
        <v>7</v>
      </c>
      <c r="C20" s="41"/>
      <c r="D20" s="889">
        <v>536360</v>
      </c>
      <c r="E20" s="890"/>
      <c r="F20" s="891"/>
    </row>
    <row r="21" spans="1:6" x14ac:dyDescent="0.2">
      <c r="A21" s="42">
        <v>2</v>
      </c>
      <c r="B21" s="9" t="s">
        <v>26</v>
      </c>
      <c r="C21" s="43"/>
      <c r="D21" s="44" t="s">
        <v>27</v>
      </c>
      <c r="E21" s="45"/>
      <c r="F21" s="46"/>
    </row>
    <row r="22" spans="1:6" x14ac:dyDescent="0.2">
      <c r="A22" s="42">
        <v>3</v>
      </c>
      <c r="B22" s="9" t="s">
        <v>11</v>
      </c>
      <c r="C22" s="43"/>
      <c r="D22" s="44" t="s">
        <v>28</v>
      </c>
      <c r="E22" s="47"/>
      <c r="F22" s="14" t="s">
        <v>10</v>
      </c>
    </row>
    <row r="23" spans="1:6" x14ac:dyDescent="0.2">
      <c r="A23" s="42">
        <v>4</v>
      </c>
      <c r="B23" s="9" t="s">
        <v>29</v>
      </c>
      <c r="C23" s="43"/>
      <c r="D23" s="44" t="s">
        <v>30</v>
      </c>
      <c r="E23" s="44">
        <v>30000</v>
      </c>
      <c r="F23" s="48" t="s">
        <v>31</v>
      </c>
    </row>
    <row r="24" spans="1:6" x14ac:dyDescent="0.2">
      <c r="A24" s="42">
        <v>5</v>
      </c>
      <c r="B24" s="12" t="s">
        <v>32</v>
      </c>
      <c r="C24" s="43"/>
      <c r="D24" s="44" t="s">
        <v>33</v>
      </c>
      <c r="E24" s="44">
        <v>100000</v>
      </c>
      <c r="F24" s="49" t="s">
        <v>34</v>
      </c>
    </row>
    <row r="25" spans="1:6" x14ac:dyDescent="0.2">
      <c r="A25" s="42">
        <v>6</v>
      </c>
      <c r="B25" s="9" t="s">
        <v>35</v>
      </c>
      <c r="C25" s="43"/>
      <c r="D25" s="44" t="s">
        <v>36</v>
      </c>
      <c r="E25" s="44">
        <v>30000</v>
      </c>
      <c r="F25" s="49" t="s">
        <v>37</v>
      </c>
    </row>
    <row r="26" spans="1:6" x14ac:dyDescent="0.2">
      <c r="A26" s="42">
        <v>7</v>
      </c>
      <c r="B26" s="12" t="s">
        <v>38</v>
      </c>
      <c r="C26" s="43"/>
      <c r="D26" s="44" t="s">
        <v>39</v>
      </c>
      <c r="E26" s="45"/>
      <c r="F26" s="49"/>
    </row>
    <row r="27" spans="1:6" x14ac:dyDescent="0.2">
      <c r="A27" s="42">
        <v>8</v>
      </c>
      <c r="B27" s="12" t="s">
        <v>40</v>
      </c>
      <c r="C27" s="43"/>
      <c r="D27" s="44" t="s">
        <v>30</v>
      </c>
      <c r="E27" s="44">
        <v>32000</v>
      </c>
      <c r="F27" s="49" t="s">
        <v>41</v>
      </c>
    </row>
    <row r="28" spans="1:6" x14ac:dyDescent="0.2">
      <c r="A28" s="42">
        <v>9</v>
      </c>
      <c r="B28" s="12" t="s">
        <v>42</v>
      </c>
      <c r="C28" s="43"/>
      <c r="D28" s="44" t="s">
        <v>43</v>
      </c>
      <c r="E28" s="45"/>
      <c r="F28" s="46"/>
    </row>
    <row r="29" spans="1:6" x14ac:dyDescent="0.2">
      <c r="A29" s="42">
        <v>10</v>
      </c>
      <c r="B29" s="9" t="s">
        <v>44</v>
      </c>
      <c r="C29" s="43"/>
      <c r="D29" s="44" t="s">
        <v>45</v>
      </c>
      <c r="E29" s="50">
        <v>8000</v>
      </c>
      <c r="F29" s="51"/>
    </row>
    <row r="30" spans="1:6" x14ac:dyDescent="0.2">
      <c r="A30" s="52"/>
      <c r="B30" s="53" t="s">
        <v>22</v>
      </c>
      <c r="C30" s="54"/>
      <c r="D30" s="55" t="s">
        <v>46</v>
      </c>
      <c r="E30" s="56">
        <f>SUM(E21:E29)</f>
        <v>200000</v>
      </c>
      <c r="F30" s="51"/>
    </row>
    <row r="31" spans="1:6" x14ac:dyDescent="0.2">
      <c r="A31" s="52"/>
      <c r="B31" s="57" t="s">
        <v>23</v>
      </c>
      <c r="C31" s="54"/>
      <c r="D31" s="45"/>
      <c r="E31" s="58">
        <f>D20-E30</f>
        <v>336360</v>
      </c>
      <c r="F31" s="35" t="s">
        <v>24</v>
      </c>
    </row>
    <row r="32" spans="1:6" x14ac:dyDescent="0.2">
      <c r="A32" s="852"/>
      <c r="B32" s="826"/>
      <c r="C32" s="827"/>
      <c r="D32" s="826"/>
      <c r="E32" s="826"/>
      <c r="F32" s="841"/>
    </row>
    <row r="33" spans="1:6" ht="24" customHeight="1" x14ac:dyDescent="0.2">
      <c r="A33" s="853" t="s">
        <v>47</v>
      </c>
      <c r="B33" s="846"/>
      <c r="C33" s="847"/>
      <c r="D33" s="846"/>
      <c r="E33" s="846"/>
      <c r="F33" s="848"/>
    </row>
    <row r="34" spans="1:6" x14ac:dyDescent="0.2">
      <c r="A34" s="8">
        <v>1</v>
      </c>
      <c r="B34" s="9" t="s">
        <v>7</v>
      </c>
      <c r="C34" s="54"/>
      <c r="D34" s="876">
        <v>8000000</v>
      </c>
      <c r="E34" s="877"/>
      <c r="F34" s="878"/>
    </row>
    <row r="35" spans="1:6" x14ac:dyDescent="0.2">
      <c r="A35" s="42">
        <v>2</v>
      </c>
      <c r="B35" s="12" t="s">
        <v>48</v>
      </c>
      <c r="C35" s="54"/>
      <c r="D35" s="59">
        <v>230000</v>
      </c>
      <c r="E35" s="60">
        <v>230000</v>
      </c>
      <c r="F35" s="61" t="s">
        <v>49</v>
      </c>
    </row>
    <row r="36" spans="1:6" x14ac:dyDescent="0.2">
      <c r="A36" s="42">
        <v>3</v>
      </c>
      <c r="B36" s="12" t="s">
        <v>50</v>
      </c>
      <c r="C36" s="54"/>
      <c r="D36" s="59">
        <v>300000</v>
      </c>
      <c r="E36" s="60">
        <v>300000</v>
      </c>
      <c r="F36" s="62" t="s">
        <v>51</v>
      </c>
    </row>
    <row r="37" spans="1:6" x14ac:dyDescent="0.2">
      <c r="A37" s="42">
        <v>4</v>
      </c>
      <c r="B37" s="12" t="s">
        <v>52</v>
      </c>
      <c r="C37" s="54"/>
      <c r="D37" s="59">
        <v>300000</v>
      </c>
      <c r="E37" s="60" t="s">
        <v>53</v>
      </c>
      <c r="F37" s="63" t="s">
        <v>54</v>
      </c>
    </row>
    <row r="38" spans="1:6" ht="110.25" x14ac:dyDescent="0.2">
      <c r="A38" s="42">
        <v>5</v>
      </c>
      <c r="B38" s="12" t="s">
        <v>55</v>
      </c>
      <c r="C38" s="54"/>
      <c r="D38" s="59">
        <v>150000</v>
      </c>
      <c r="E38" s="64" t="s">
        <v>56</v>
      </c>
      <c r="F38" s="51" t="s">
        <v>57</v>
      </c>
    </row>
    <row r="39" spans="1:6" ht="31.5" x14ac:dyDescent="0.2">
      <c r="A39" s="42">
        <v>6</v>
      </c>
      <c r="B39" s="12" t="s">
        <v>58</v>
      </c>
      <c r="C39" s="54"/>
      <c r="D39" s="65">
        <v>350000</v>
      </c>
      <c r="E39" s="60">
        <v>50000</v>
      </c>
      <c r="F39" s="66" t="s">
        <v>59</v>
      </c>
    </row>
    <row r="40" spans="1:6" ht="47.25" x14ac:dyDescent="0.2">
      <c r="A40" s="42">
        <v>7</v>
      </c>
      <c r="B40" s="12" t="s">
        <v>60</v>
      </c>
      <c r="C40" s="67"/>
      <c r="D40" s="68">
        <v>370000</v>
      </c>
      <c r="E40" s="69">
        <v>454800</v>
      </c>
      <c r="F40" s="66" t="s">
        <v>61</v>
      </c>
    </row>
    <row r="41" spans="1:6" x14ac:dyDescent="0.2">
      <c r="A41" s="42">
        <v>8</v>
      </c>
      <c r="B41" s="12" t="s">
        <v>62</v>
      </c>
      <c r="C41" s="67"/>
      <c r="D41" s="70">
        <v>110000</v>
      </c>
      <c r="E41" s="60">
        <v>110000</v>
      </c>
      <c r="F41" s="63" t="s">
        <v>63</v>
      </c>
    </row>
    <row r="42" spans="1:6" x14ac:dyDescent="0.2">
      <c r="A42" s="42">
        <v>9</v>
      </c>
      <c r="B42" s="12" t="s">
        <v>64</v>
      </c>
      <c r="C42" s="67"/>
      <c r="D42" s="70">
        <v>300000</v>
      </c>
      <c r="E42" s="60">
        <v>15000</v>
      </c>
      <c r="F42" s="66" t="s">
        <v>65</v>
      </c>
    </row>
    <row r="43" spans="1:6" x14ac:dyDescent="0.2">
      <c r="A43" s="42">
        <v>10</v>
      </c>
      <c r="B43" s="12" t="s">
        <v>66</v>
      </c>
      <c r="C43" s="67"/>
      <c r="D43" s="70">
        <v>75000</v>
      </c>
      <c r="E43" s="60">
        <v>26595</v>
      </c>
      <c r="F43" s="66" t="s">
        <v>67</v>
      </c>
    </row>
    <row r="44" spans="1:6" x14ac:dyDescent="0.2">
      <c r="A44" s="42">
        <v>11</v>
      </c>
      <c r="B44" s="12" t="s">
        <v>68</v>
      </c>
      <c r="C44" s="71"/>
      <c r="D44" s="72">
        <v>191028</v>
      </c>
      <c r="E44" s="60">
        <v>191028.4</v>
      </c>
      <c r="F44" s="63" t="s">
        <v>69</v>
      </c>
    </row>
    <row r="45" spans="1:6" x14ac:dyDescent="0.2">
      <c r="A45" s="42">
        <v>12</v>
      </c>
      <c r="B45" s="12" t="s">
        <v>70</v>
      </c>
      <c r="C45" s="73">
        <v>0.15</v>
      </c>
      <c r="D45" s="72">
        <v>337438.32</v>
      </c>
      <c r="E45" s="74">
        <v>337438.32</v>
      </c>
      <c r="F45" s="51"/>
    </row>
    <row r="46" spans="1:6" x14ac:dyDescent="0.2">
      <c r="A46" s="42">
        <v>13</v>
      </c>
      <c r="B46" s="12" t="s">
        <v>11</v>
      </c>
      <c r="C46" s="73">
        <v>0.03</v>
      </c>
      <c r="D46" s="72">
        <v>67487.66</v>
      </c>
      <c r="E46" s="72">
        <v>67487.66</v>
      </c>
      <c r="F46" s="23" t="s">
        <v>10</v>
      </c>
    </row>
    <row r="47" spans="1:6" ht="21" customHeight="1" x14ac:dyDescent="0.2">
      <c r="A47" s="42">
        <v>14</v>
      </c>
      <c r="B47" s="17" t="s">
        <v>71</v>
      </c>
      <c r="C47" s="73">
        <v>3.5000000000000003E-2</v>
      </c>
      <c r="D47" s="72">
        <v>78735.61</v>
      </c>
      <c r="E47" s="75">
        <v>70000</v>
      </c>
      <c r="F47" s="76" t="s">
        <v>72</v>
      </c>
    </row>
    <row r="48" spans="1:6" x14ac:dyDescent="0.2">
      <c r="A48" s="77">
        <v>15</v>
      </c>
      <c r="B48" s="21" t="s">
        <v>73</v>
      </c>
      <c r="C48" s="78">
        <v>0.12</v>
      </c>
      <c r="D48" s="79">
        <v>269950.65999999997</v>
      </c>
      <c r="E48" s="80">
        <v>172340</v>
      </c>
      <c r="F48" s="66" t="s">
        <v>74</v>
      </c>
    </row>
    <row r="49" spans="1:6" x14ac:dyDescent="0.2">
      <c r="A49" s="77">
        <v>16</v>
      </c>
      <c r="B49" s="21" t="s">
        <v>75</v>
      </c>
      <c r="C49" s="78">
        <v>7.0000000000000007E-2</v>
      </c>
      <c r="D49" s="44">
        <v>157471.22</v>
      </c>
      <c r="E49" s="56">
        <v>239400</v>
      </c>
      <c r="F49" s="66" t="s">
        <v>76</v>
      </c>
    </row>
    <row r="50" spans="1:6" ht="31.5" x14ac:dyDescent="0.2">
      <c r="A50" s="867">
        <v>17</v>
      </c>
      <c r="B50" s="21" t="s">
        <v>77</v>
      </c>
      <c r="C50" s="869">
        <v>4.4999999999999998E-2</v>
      </c>
      <c r="D50" s="871">
        <v>101231.5</v>
      </c>
      <c r="E50" s="879">
        <v>58510</v>
      </c>
      <c r="F50" s="881" t="s">
        <v>37</v>
      </c>
    </row>
    <row r="51" spans="1:6" x14ac:dyDescent="0.2">
      <c r="A51" s="868"/>
      <c r="B51" s="83" t="s">
        <v>78</v>
      </c>
      <c r="C51" s="870"/>
      <c r="D51" s="872"/>
      <c r="E51" s="880"/>
      <c r="F51" s="880"/>
    </row>
    <row r="52" spans="1:6" ht="31.5" x14ac:dyDescent="0.2">
      <c r="A52" s="867">
        <v>18</v>
      </c>
      <c r="B52" s="21" t="s">
        <v>77</v>
      </c>
      <c r="C52" s="869">
        <v>0.03</v>
      </c>
      <c r="D52" s="871">
        <v>67487.66</v>
      </c>
      <c r="E52" s="873">
        <v>63830</v>
      </c>
      <c r="F52" s="875" t="s">
        <v>79</v>
      </c>
    </row>
    <row r="53" spans="1:6" x14ac:dyDescent="0.2">
      <c r="A53" s="868"/>
      <c r="B53" s="83" t="s">
        <v>80</v>
      </c>
      <c r="C53" s="870"/>
      <c r="D53" s="872"/>
      <c r="E53" s="874"/>
      <c r="F53" s="874"/>
    </row>
    <row r="54" spans="1:6" ht="31.5" x14ac:dyDescent="0.2">
      <c r="A54" s="867">
        <v>19</v>
      </c>
      <c r="B54" s="21" t="s">
        <v>81</v>
      </c>
      <c r="C54" s="869">
        <v>0.03</v>
      </c>
      <c r="D54" s="871">
        <v>67487.66</v>
      </c>
      <c r="E54" s="873">
        <v>63830</v>
      </c>
      <c r="F54" s="875" t="s">
        <v>79</v>
      </c>
    </row>
    <row r="55" spans="1:6" x14ac:dyDescent="0.2">
      <c r="A55" s="868"/>
      <c r="B55" s="83" t="s">
        <v>82</v>
      </c>
      <c r="C55" s="870"/>
      <c r="D55" s="872"/>
      <c r="E55" s="874"/>
      <c r="F55" s="874"/>
    </row>
    <row r="56" spans="1:6" ht="47.25" x14ac:dyDescent="0.2">
      <c r="A56" s="77">
        <v>20</v>
      </c>
      <c r="B56" s="21" t="s">
        <v>83</v>
      </c>
      <c r="C56" s="78">
        <v>7.0000000000000007E-2</v>
      </c>
      <c r="D56" s="44">
        <v>157471.22</v>
      </c>
      <c r="E56" s="84">
        <v>140000</v>
      </c>
      <c r="F56" s="84" t="s">
        <v>84</v>
      </c>
    </row>
    <row r="57" spans="1:6" ht="47.25" x14ac:dyDescent="0.2">
      <c r="A57" s="42">
        <v>21</v>
      </c>
      <c r="B57" s="85" t="s">
        <v>85</v>
      </c>
      <c r="C57" s="43">
        <v>7.0000000000000007E-2</v>
      </c>
      <c r="D57" s="44">
        <v>157471.22</v>
      </c>
      <c r="E57" s="55">
        <v>122286</v>
      </c>
      <c r="F57" s="55" t="s">
        <v>86</v>
      </c>
    </row>
    <row r="58" spans="1:6" x14ac:dyDescent="0.2">
      <c r="A58" s="42">
        <v>22</v>
      </c>
      <c r="B58" s="12" t="s">
        <v>87</v>
      </c>
      <c r="C58" s="43">
        <v>0.04</v>
      </c>
      <c r="D58" s="44">
        <v>89983.55</v>
      </c>
      <c r="E58" s="55">
        <v>63830</v>
      </c>
      <c r="F58" s="55" t="s">
        <v>88</v>
      </c>
    </row>
    <row r="59" spans="1:6" ht="47.25" x14ac:dyDescent="0.2">
      <c r="A59" s="42">
        <v>23</v>
      </c>
      <c r="B59" s="12" t="s">
        <v>89</v>
      </c>
      <c r="C59" s="43">
        <v>2.5000000000000001E-2</v>
      </c>
      <c r="D59" s="44">
        <v>56239.72</v>
      </c>
      <c r="E59" s="55">
        <v>31800</v>
      </c>
      <c r="F59" s="55" t="s">
        <v>90</v>
      </c>
    </row>
    <row r="60" spans="1:6" x14ac:dyDescent="0.2">
      <c r="A60" s="42">
        <v>24</v>
      </c>
      <c r="B60" s="12" t="s">
        <v>91</v>
      </c>
      <c r="C60" s="43">
        <v>0.03</v>
      </c>
      <c r="D60" s="44">
        <v>67487.66</v>
      </c>
      <c r="E60" s="55">
        <v>37234</v>
      </c>
      <c r="F60" s="55" t="s">
        <v>92</v>
      </c>
    </row>
    <row r="61" spans="1:6" x14ac:dyDescent="0.2">
      <c r="A61" s="42">
        <v>25</v>
      </c>
      <c r="B61" s="12" t="s">
        <v>93</v>
      </c>
      <c r="C61" s="43">
        <v>0.04</v>
      </c>
      <c r="D61" s="44">
        <v>89983.55</v>
      </c>
      <c r="E61" s="55">
        <v>47872</v>
      </c>
      <c r="F61" s="55" t="s">
        <v>94</v>
      </c>
    </row>
    <row r="62" spans="1:6" ht="31.5" x14ac:dyDescent="0.2">
      <c r="A62" s="42">
        <v>26</v>
      </c>
      <c r="B62" s="12" t="s">
        <v>95</v>
      </c>
      <c r="C62" s="43">
        <v>1.4999999999999999E-2</v>
      </c>
      <c r="D62" s="44">
        <v>33743.83</v>
      </c>
      <c r="E62" s="82">
        <v>25000</v>
      </c>
      <c r="F62" s="84" t="s">
        <v>96</v>
      </c>
    </row>
    <row r="63" spans="1:6" x14ac:dyDescent="0.2">
      <c r="A63" s="42">
        <v>27</v>
      </c>
      <c r="B63" s="12" t="s">
        <v>97</v>
      </c>
      <c r="C63" s="43">
        <v>1.4999999999999999E-2</v>
      </c>
      <c r="D63" s="86">
        <v>33743.83</v>
      </c>
      <c r="E63" s="81">
        <v>33743.83</v>
      </c>
      <c r="F63" s="87"/>
    </row>
    <row r="64" spans="1:6" ht="31.5" x14ac:dyDescent="0.2">
      <c r="A64" s="42">
        <v>28</v>
      </c>
      <c r="B64" s="12" t="s">
        <v>98</v>
      </c>
      <c r="C64" s="43">
        <v>7.0000000000000007E-2</v>
      </c>
      <c r="D64" s="86">
        <v>157471.22</v>
      </c>
      <c r="E64" s="88">
        <v>80000</v>
      </c>
      <c r="F64" s="89" t="s">
        <v>99</v>
      </c>
    </row>
    <row r="65" spans="1:6" x14ac:dyDescent="0.2">
      <c r="A65" s="42">
        <v>29</v>
      </c>
      <c r="B65" s="12" t="s">
        <v>100</v>
      </c>
      <c r="C65" s="43">
        <v>3.5000000000000003E-2</v>
      </c>
      <c r="D65" s="44">
        <v>78735.61</v>
      </c>
      <c r="E65" s="79">
        <v>31400</v>
      </c>
      <c r="F65" s="44" t="s">
        <v>101</v>
      </c>
    </row>
    <row r="66" spans="1:6" x14ac:dyDescent="0.2">
      <c r="A66" s="52"/>
      <c r="B66" s="53" t="s">
        <v>22</v>
      </c>
      <c r="C66" s="54"/>
      <c r="D66" s="55">
        <v>4445649.7</v>
      </c>
      <c r="E66" s="55">
        <f>SUM(E35:E65)</f>
        <v>3063425.21</v>
      </c>
      <c r="F66" s="45"/>
    </row>
    <row r="67" spans="1:6" x14ac:dyDescent="0.2">
      <c r="A67" s="90"/>
      <c r="B67" s="91" t="s">
        <v>23</v>
      </c>
      <c r="C67" s="92"/>
      <c r="D67" s="93"/>
      <c r="E67" s="94">
        <f>D34-E66</f>
        <v>4936574.79</v>
      </c>
      <c r="F67" s="93"/>
    </row>
    <row r="68" spans="1:6" x14ac:dyDescent="0.2">
      <c r="A68" s="859"/>
      <c r="B68" s="860"/>
      <c r="C68" s="860"/>
      <c r="D68" s="860"/>
      <c r="E68" s="860"/>
      <c r="F68" s="861"/>
    </row>
    <row r="69" spans="1:6" ht="85.5" customHeight="1" x14ac:dyDescent="0.2">
      <c r="A69" s="862" t="s">
        <v>102</v>
      </c>
      <c r="B69" s="863"/>
      <c r="C69" s="863"/>
      <c r="D69" s="863"/>
      <c r="E69" s="863"/>
      <c r="F69" s="864"/>
    </row>
    <row r="70" spans="1:6" x14ac:dyDescent="0.2">
      <c r="A70" s="95">
        <v>1</v>
      </c>
      <c r="B70" s="96" t="s">
        <v>7</v>
      </c>
      <c r="C70" s="97"/>
      <c r="D70" s="865">
        <v>5922173</v>
      </c>
      <c r="E70" s="865"/>
      <c r="F70" s="865"/>
    </row>
    <row r="71" spans="1:6" x14ac:dyDescent="0.2">
      <c r="A71" s="98">
        <v>2</v>
      </c>
      <c r="B71" s="21" t="s">
        <v>103</v>
      </c>
      <c r="C71" s="99"/>
      <c r="D71" s="70">
        <v>350000</v>
      </c>
      <c r="E71" s="60">
        <v>320991</v>
      </c>
      <c r="F71" s="63" t="s">
        <v>104</v>
      </c>
    </row>
    <row r="72" spans="1:6" x14ac:dyDescent="0.2">
      <c r="A72" s="98">
        <v>3</v>
      </c>
      <c r="B72" s="100"/>
      <c r="C72" s="99"/>
      <c r="D72" s="68"/>
      <c r="E72" s="101"/>
      <c r="F72" s="76"/>
    </row>
    <row r="73" spans="1:6" ht="51" customHeight="1" x14ac:dyDescent="0.2">
      <c r="A73" s="98">
        <v>4</v>
      </c>
      <c r="B73" s="21" t="s">
        <v>105</v>
      </c>
      <c r="C73" s="99"/>
      <c r="D73" s="70">
        <v>150000</v>
      </c>
      <c r="E73" s="60">
        <v>85000</v>
      </c>
      <c r="F73" s="63" t="s">
        <v>106</v>
      </c>
    </row>
    <row r="74" spans="1:6" ht="31.5" x14ac:dyDescent="0.2">
      <c r="A74" s="98">
        <v>5</v>
      </c>
      <c r="B74" s="21" t="s">
        <v>107</v>
      </c>
      <c r="C74" s="99"/>
      <c r="D74" s="70">
        <v>300000</v>
      </c>
      <c r="E74" s="60">
        <v>100000</v>
      </c>
      <c r="F74" s="66" t="s">
        <v>108</v>
      </c>
    </row>
    <row r="75" spans="1:6" ht="31.5" customHeight="1" x14ac:dyDescent="0.2">
      <c r="A75" s="98">
        <v>6</v>
      </c>
      <c r="B75" s="21" t="s">
        <v>109</v>
      </c>
      <c r="C75" s="99"/>
      <c r="D75" s="70">
        <v>100000</v>
      </c>
      <c r="E75" s="60"/>
    </row>
    <row r="76" spans="1:6" ht="31.5" x14ac:dyDescent="0.2">
      <c r="A76" s="98">
        <v>7</v>
      </c>
      <c r="B76" s="21" t="s">
        <v>110</v>
      </c>
      <c r="C76" s="99"/>
      <c r="D76" s="70">
        <v>150000</v>
      </c>
      <c r="E76" s="70">
        <v>128900</v>
      </c>
      <c r="F76" s="3" t="s">
        <v>111</v>
      </c>
    </row>
    <row r="77" spans="1:6" x14ac:dyDescent="0.2">
      <c r="A77" s="98">
        <v>8</v>
      </c>
      <c r="B77" s="21" t="s">
        <v>112</v>
      </c>
      <c r="C77" s="99"/>
      <c r="D77" s="70">
        <v>100000</v>
      </c>
      <c r="E77" s="60">
        <v>26596</v>
      </c>
      <c r="F77" s="63" t="s">
        <v>113</v>
      </c>
    </row>
    <row r="78" spans="1:6" x14ac:dyDescent="0.2">
      <c r="A78" s="98">
        <v>9</v>
      </c>
      <c r="B78" s="21" t="s">
        <v>114</v>
      </c>
      <c r="C78" s="99"/>
      <c r="D78" s="70">
        <v>100000</v>
      </c>
      <c r="E78" s="60"/>
      <c r="F78" s="76" t="s">
        <v>115</v>
      </c>
    </row>
    <row r="79" spans="1:6" ht="32.25" customHeight="1" x14ac:dyDescent="0.2">
      <c r="A79" s="98">
        <v>10</v>
      </c>
      <c r="B79" s="21" t="s">
        <v>116</v>
      </c>
      <c r="C79" s="99"/>
      <c r="D79" s="70">
        <v>450000</v>
      </c>
      <c r="E79" s="60"/>
      <c r="F79" s="66" t="s">
        <v>117</v>
      </c>
    </row>
    <row r="80" spans="1:6" x14ac:dyDescent="0.2">
      <c r="A80" s="98">
        <v>12</v>
      </c>
      <c r="B80" s="21" t="s">
        <v>118</v>
      </c>
      <c r="C80" s="102">
        <v>0.12</v>
      </c>
      <c r="D80" s="72">
        <v>212264.304</v>
      </c>
      <c r="E80" s="21"/>
      <c r="F80" s="103" t="s">
        <v>119</v>
      </c>
    </row>
    <row r="81" spans="1:6" x14ac:dyDescent="0.2">
      <c r="A81" s="98">
        <v>13</v>
      </c>
      <c r="B81" s="21" t="s">
        <v>11</v>
      </c>
      <c r="C81" s="102">
        <v>0.04</v>
      </c>
      <c r="D81" s="72">
        <v>70754.768000000011</v>
      </c>
      <c r="E81" s="21"/>
      <c r="F81" s="104" t="s">
        <v>120</v>
      </c>
    </row>
    <row r="82" spans="1:6" x14ac:dyDescent="0.2">
      <c r="A82" s="98">
        <v>14</v>
      </c>
      <c r="B82" s="21" t="s">
        <v>121</v>
      </c>
      <c r="C82" s="102">
        <v>0.04</v>
      </c>
      <c r="D82" s="72">
        <v>70754.768000000011</v>
      </c>
      <c r="E82" s="21"/>
      <c r="F82" s="51"/>
    </row>
    <row r="83" spans="1:6" x14ac:dyDescent="0.2">
      <c r="A83" s="98">
        <v>15</v>
      </c>
      <c r="B83" s="21" t="s">
        <v>122</v>
      </c>
      <c r="C83" s="102">
        <v>0.09</v>
      </c>
      <c r="D83" s="72">
        <v>159198.228</v>
      </c>
      <c r="E83" s="66">
        <v>0</v>
      </c>
      <c r="F83" s="66" t="s">
        <v>123</v>
      </c>
    </row>
    <row r="84" spans="1:6" x14ac:dyDescent="0.2">
      <c r="A84" s="98">
        <v>16</v>
      </c>
      <c r="B84" s="21" t="s">
        <v>75</v>
      </c>
      <c r="C84" s="102">
        <v>0.08</v>
      </c>
      <c r="D84" s="72">
        <v>141509.53600000002</v>
      </c>
      <c r="E84" s="66">
        <v>0</v>
      </c>
      <c r="F84" s="66" t="s">
        <v>124</v>
      </c>
    </row>
    <row r="85" spans="1:6" ht="47.25" x14ac:dyDescent="0.2">
      <c r="A85" s="98">
        <v>17</v>
      </c>
      <c r="B85" s="21" t="s">
        <v>125</v>
      </c>
      <c r="C85" s="102">
        <v>0.04</v>
      </c>
      <c r="D85" s="72">
        <v>70754.768000000011</v>
      </c>
      <c r="E85" s="105"/>
      <c r="F85" s="105"/>
    </row>
    <row r="86" spans="1:6" ht="47.25" x14ac:dyDescent="0.2">
      <c r="A86" s="98">
        <v>18</v>
      </c>
      <c r="B86" s="21" t="s">
        <v>126</v>
      </c>
      <c r="C86" s="102">
        <v>0.04</v>
      </c>
      <c r="D86" s="72">
        <v>70754.768000000011</v>
      </c>
      <c r="E86" s="21"/>
      <c r="F86" s="51"/>
    </row>
    <row r="87" spans="1:6" ht="47.25" x14ac:dyDescent="0.2">
      <c r="A87" s="98">
        <v>19</v>
      </c>
      <c r="B87" s="21" t="s">
        <v>127</v>
      </c>
      <c r="C87" s="102">
        <v>0.04</v>
      </c>
      <c r="D87" s="72">
        <v>70754.768000000011</v>
      </c>
      <c r="E87" s="21"/>
      <c r="F87" s="51"/>
    </row>
    <row r="88" spans="1:6" ht="47.25" x14ac:dyDescent="0.2">
      <c r="A88" s="98">
        <v>20</v>
      </c>
      <c r="B88" s="21" t="s">
        <v>83</v>
      </c>
      <c r="C88" s="102">
        <v>0.04</v>
      </c>
      <c r="D88" s="72">
        <v>70754.768000000011</v>
      </c>
      <c r="E88" s="105"/>
      <c r="F88" s="105"/>
    </row>
    <row r="89" spans="1:6" ht="47.25" x14ac:dyDescent="0.2">
      <c r="A89" s="98">
        <v>21</v>
      </c>
      <c r="B89" s="21" t="s">
        <v>85</v>
      </c>
      <c r="C89" s="102">
        <v>0.04</v>
      </c>
      <c r="D89" s="72">
        <v>70754.768000000011</v>
      </c>
      <c r="E89" s="66"/>
      <c r="F89" s="66"/>
    </row>
    <row r="90" spans="1:6" x14ac:dyDescent="0.2">
      <c r="A90" s="98">
        <v>22</v>
      </c>
      <c r="B90" s="21" t="s">
        <v>87</v>
      </c>
      <c r="C90" s="102">
        <v>0.04</v>
      </c>
      <c r="D90" s="72">
        <v>70754.768000000011</v>
      </c>
      <c r="E90" s="21"/>
      <c r="F90" s="51"/>
    </row>
    <row r="91" spans="1:6" x14ac:dyDescent="0.2">
      <c r="A91" s="98">
        <v>23</v>
      </c>
      <c r="B91" s="21" t="s">
        <v>128</v>
      </c>
      <c r="C91" s="102">
        <v>0.05</v>
      </c>
      <c r="D91" s="72">
        <v>88443.460000000021</v>
      </c>
      <c r="E91" s="66"/>
      <c r="F91" s="66"/>
    </row>
    <row r="92" spans="1:6" x14ac:dyDescent="0.2">
      <c r="A92" s="98">
        <v>24</v>
      </c>
      <c r="B92" s="21" t="s">
        <v>91</v>
      </c>
      <c r="C92" s="102">
        <v>0.04</v>
      </c>
      <c r="D92" s="72">
        <v>70754.768000000011</v>
      </c>
      <c r="E92" s="66"/>
      <c r="F92" s="66" t="s">
        <v>129</v>
      </c>
    </row>
    <row r="93" spans="1:6" ht="47.25" x14ac:dyDescent="0.2">
      <c r="A93" s="98">
        <v>25</v>
      </c>
      <c r="B93" s="21" t="s">
        <v>93</v>
      </c>
      <c r="C93" s="102">
        <v>0.04</v>
      </c>
      <c r="D93" s="72">
        <v>70754.768000000011</v>
      </c>
      <c r="E93" s="66"/>
      <c r="F93" s="66" t="s">
        <v>130</v>
      </c>
    </row>
    <row r="94" spans="1:6" ht="31.5" x14ac:dyDescent="0.2">
      <c r="A94" s="106">
        <v>26</v>
      </c>
      <c r="B94" s="107" t="s">
        <v>95</v>
      </c>
      <c r="C94" s="108">
        <v>0.03</v>
      </c>
      <c r="D94" s="109">
        <v>53066.076000000001</v>
      </c>
      <c r="E94" s="110"/>
      <c r="F94" s="111" t="s">
        <v>129</v>
      </c>
    </row>
    <row r="95" spans="1:6" x14ac:dyDescent="0.2">
      <c r="A95" s="98">
        <v>27</v>
      </c>
      <c r="B95" s="21" t="s">
        <v>97</v>
      </c>
      <c r="C95" s="102">
        <v>0.03</v>
      </c>
      <c r="D95" s="72">
        <v>53066.076000000001</v>
      </c>
      <c r="E95" s="21"/>
      <c r="F95" s="66" t="s">
        <v>131</v>
      </c>
    </row>
    <row r="96" spans="1:6" ht="31.5" x14ac:dyDescent="0.2">
      <c r="A96" s="98">
        <v>28</v>
      </c>
      <c r="B96" s="21" t="s">
        <v>98</v>
      </c>
      <c r="C96" s="102">
        <v>0.05</v>
      </c>
      <c r="D96" s="72">
        <v>88443.460000000021</v>
      </c>
      <c r="E96" s="66">
        <v>0</v>
      </c>
      <c r="F96" s="66" t="s">
        <v>99</v>
      </c>
    </row>
    <row r="97" spans="1:6" x14ac:dyDescent="0.2">
      <c r="A97" s="106">
        <v>29</v>
      </c>
      <c r="B97" s="107" t="s">
        <v>100</v>
      </c>
      <c r="C97" s="112">
        <v>3.5000000000000003E-2</v>
      </c>
      <c r="D97" s="109">
        <v>61910.422000000013</v>
      </c>
      <c r="E97" s="109"/>
      <c r="F97" s="109" t="s">
        <v>101</v>
      </c>
    </row>
    <row r="98" spans="1:6" x14ac:dyDescent="0.2">
      <c r="A98" s="106">
        <v>30</v>
      </c>
      <c r="B98" s="107" t="s">
        <v>132</v>
      </c>
      <c r="C98" s="112">
        <v>0.11499999999999966</v>
      </c>
      <c r="D98" s="109">
        <v>256319.95799999926</v>
      </c>
      <c r="E98" s="109">
        <v>2512.36</v>
      </c>
      <c r="F98" s="109" t="s">
        <v>133</v>
      </c>
    </row>
    <row r="99" spans="1:6" x14ac:dyDescent="0.2">
      <c r="A99" s="113"/>
      <c r="B99" s="26" t="s">
        <v>22</v>
      </c>
      <c r="C99" s="99"/>
      <c r="D99" s="66">
        <v>3521769.1999999997</v>
      </c>
      <c r="E99" s="66">
        <f>SUM(E71:E98)</f>
        <v>663999.36</v>
      </c>
      <c r="F99" s="103"/>
    </row>
    <row r="100" spans="1:6" x14ac:dyDescent="0.2">
      <c r="A100" s="114"/>
      <c r="B100" s="32" t="s">
        <v>23</v>
      </c>
      <c r="C100" s="115"/>
      <c r="D100" s="96">
        <v>2400403.8000000003</v>
      </c>
      <c r="E100" s="116">
        <v>5922173</v>
      </c>
      <c r="F100" s="117"/>
    </row>
    <row r="101" spans="1:6" x14ac:dyDescent="0.2">
      <c r="A101" s="866"/>
      <c r="B101" s="839"/>
      <c r="C101" s="840"/>
      <c r="D101" s="839"/>
      <c r="E101" s="839"/>
      <c r="F101" s="841"/>
    </row>
    <row r="102" spans="1:6" ht="27" customHeight="1" x14ac:dyDescent="0.2">
      <c r="A102" s="853" t="s">
        <v>134</v>
      </c>
      <c r="B102" s="846"/>
      <c r="C102" s="847"/>
      <c r="D102" s="846"/>
      <c r="E102" s="846"/>
      <c r="F102" s="848"/>
    </row>
    <row r="103" spans="1:6" x14ac:dyDescent="0.2">
      <c r="A103" s="42">
        <v>1</v>
      </c>
      <c r="B103" s="9" t="s">
        <v>7</v>
      </c>
      <c r="C103" s="54"/>
      <c r="D103" s="849">
        <v>16067142.039999999</v>
      </c>
      <c r="E103" s="850"/>
      <c r="F103" s="851"/>
    </row>
    <row r="104" spans="1:6" x14ac:dyDescent="0.2">
      <c r="A104" s="42">
        <v>2</v>
      </c>
      <c r="B104" s="12" t="s">
        <v>8</v>
      </c>
      <c r="C104" s="54"/>
      <c r="D104" s="44">
        <v>700000</v>
      </c>
      <c r="E104" s="44">
        <v>700000</v>
      </c>
      <c r="F104" s="45"/>
    </row>
    <row r="105" spans="1:6" ht="31.5" x14ac:dyDescent="0.2">
      <c r="A105" s="42">
        <v>3</v>
      </c>
      <c r="B105" s="12" t="s">
        <v>135</v>
      </c>
      <c r="C105" s="54"/>
      <c r="D105" s="44">
        <v>649250</v>
      </c>
      <c r="E105" s="44">
        <v>649250</v>
      </c>
      <c r="F105" s="46"/>
    </row>
    <row r="106" spans="1:6" x14ac:dyDescent="0.2">
      <c r="A106" s="42">
        <v>4</v>
      </c>
      <c r="B106" s="12" t="s">
        <v>136</v>
      </c>
      <c r="C106" s="54"/>
      <c r="D106" s="44">
        <v>883073.52</v>
      </c>
      <c r="E106" s="47"/>
      <c r="F106" s="23" t="s">
        <v>10</v>
      </c>
    </row>
    <row r="107" spans="1:6" x14ac:dyDescent="0.2">
      <c r="A107" s="42">
        <v>5</v>
      </c>
      <c r="B107" s="12" t="s">
        <v>11</v>
      </c>
      <c r="C107" s="54"/>
      <c r="D107" s="44">
        <v>117743.14</v>
      </c>
      <c r="E107" s="47"/>
      <c r="F107" s="23" t="s">
        <v>10</v>
      </c>
    </row>
    <row r="108" spans="1:6" x14ac:dyDescent="0.2">
      <c r="A108" s="42">
        <v>6</v>
      </c>
      <c r="B108" s="12" t="s">
        <v>137</v>
      </c>
      <c r="C108" s="54"/>
      <c r="D108" s="44">
        <v>123630.29</v>
      </c>
      <c r="E108" s="44">
        <v>74500</v>
      </c>
      <c r="F108" s="118" t="s">
        <v>138</v>
      </c>
    </row>
    <row r="109" spans="1:6" ht="31.5" x14ac:dyDescent="0.2">
      <c r="A109" s="42">
        <v>7</v>
      </c>
      <c r="B109" s="12" t="s">
        <v>139</v>
      </c>
      <c r="C109" s="54"/>
      <c r="D109" s="44">
        <v>176614.7</v>
      </c>
      <c r="E109" s="44">
        <v>191500</v>
      </c>
      <c r="F109" s="46"/>
    </row>
    <row r="110" spans="1:6" x14ac:dyDescent="0.2">
      <c r="A110" s="42">
        <v>8</v>
      </c>
      <c r="B110" s="12" t="s">
        <v>140</v>
      </c>
      <c r="C110" s="54"/>
      <c r="D110" s="44">
        <v>294357.84000000003</v>
      </c>
      <c r="E110" s="47"/>
      <c r="F110" s="23" t="s">
        <v>10</v>
      </c>
    </row>
    <row r="111" spans="1:6" x14ac:dyDescent="0.2">
      <c r="A111" s="42">
        <v>9</v>
      </c>
      <c r="B111" s="12" t="s">
        <v>141</v>
      </c>
      <c r="C111" s="54"/>
      <c r="D111" s="44">
        <v>235486.27</v>
      </c>
      <c r="E111" s="47"/>
      <c r="F111" s="23" t="s">
        <v>10</v>
      </c>
    </row>
    <row r="112" spans="1:6" x14ac:dyDescent="0.2">
      <c r="A112" s="42">
        <v>10</v>
      </c>
      <c r="B112" s="12" t="s">
        <v>142</v>
      </c>
      <c r="C112" s="54"/>
      <c r="D112" s="44">
        <v>235486.27</v>
      </c>
      <c r="E112" s="86"/>
      <c r="F112" s="23" t="s">
        <v>10</v>
      </c>
    </row>
    <row r="113" spans="1:6" x14ac:dyDescent="0.2">
      <c r="A113" s="42">
        <v>11</v>
      </c>
      <c r="B113" s="12" t="s">
        <v>143</v>
      </c>
      <c r="C113" s="54"/>
      <c r="D113" s="44">
        <v>529844.11</v>
      </c>
      <c r="E113" s="47"/>
      <c r="F113" s="23" t="s">
        <v>10</v>
      </c>
    </row>
    <row r="114" spans="1:6" x14ac:dyDescent="0.2">
      <c r="A114" s="42">
        <v>12</v>
      </c>
      <c r="B114" s="12" t="s">
        <v>144</v>
      </c>
      <c r="C114" s="54"/>
      <c r="D114" s="44">
        <v>353229.41</v>
      </c>
      <c r="E114" s="47"/>
      <c r="F114" s="23" t="s">
        <v>10</v>
      </c>
    </row>
    <row r="115" spans="1:6" x14ac:dyDescent="0.2">
      <c r="A115" s="42">
        <v>13</v>
      </c>
      <c r="B115" s="12" t="s">
        <v>145</v>
      </c>
      <c r="C115" s="54"/>
      <c r="D115" s="44">
        <v>176614.7</v>
      </c>
      <c r="E115" s="44">
        <v>175500</v>
      </c>
      <c r="F115" s="118" t="s">
        <v>146</v>
      </c>
    </row>
    <row r="116" spans="1:6" x14ac:dyDescent="0.2">
      <c r="A116" s="42">
        <v>14</v>
      </c>
      <c r="B116" s="12" t="s">
        <v>147</v>
      </c>
      <c r="C116" s="54"/>
      <c r="D116" s="44">
        <v>164840.39000000001</v>
      </c>
      <c r="E116" s="45"/>
      <c r="F116" s="45"/>
    </row>
    <row r="117" spans="1:6" x14ac:dyDescent="0.2">
      <c r="A117" s="42">
        <v>15</v>
      </c>
      <c r="B117" s="12" t="s">
        <v>148</v>
      </c>
      <c r="C117" s="54"/>
      <c r="D117" s="44">
        <v>135404.60999999999</v>
      </c>
      <c r="E117" s="45"/>
      <c r="F117" s="45"/>
    </row>
    <row r="118" spans="1:6" x14ac:dyDescent="0.2">
      <c r="A118" s="42">
        <v>16</v>
      </c>
      <c r="B118" s="12" t="s">
        <v>149</v>
      </c>
      <c r="C118" s="54"/>
      <c r="D118" s="44">
        <v>206050.49</v>
      </c>
      <c r="E118" s="44">
        <v>218000</v>
      </c>
      <c r="F118" s="119" t="s">
        <v>84</v>
      </c>
    </row>
    <row r="119" spans="1:6" x14ac:dyDescent="0.2">
      <c r="A119" s="42">
        <v>17</v>
      </c>
      <c r="B119" s="12" t="s">
        <v>40</v>
      </c>
      <c r="C119" s="54"/>
      <c r="D119" s="44">
        <v>147178.92000000001</v>
      </c>
      <c r="E119" s="49">
        <v>63350</v>
      </c>
      <c r="F119" s="119" t="s">
        <v>86</v>
      </c>
    </row>
    <row r="120" spans="1:6" x14ac:dyDescent="0.2">
      <c r="A120" s="42">
        <v>18</v>
      </c>
      <c r="B120" s="12" t="s">
        <v>150</v>
      </c>
      <c r="C120" s="54"/>
      <c r="D120" s="44">
        <v>147178.92000000001</v>
      </c>
      <c r="E120" s="44">
        <v>69200</v>
      </c>
      <c r="F120" s="119" t="s">
        <v>90</v>
      </c>
    </row>
    <row r="121" spans="1:6" x14ac:dyDescent="0.2">
      <c r="A121" s="42">
        <v>19</v>
      </c>
      <c r="B121" s="12" t="s">
        <v>151</v>
      </c>
      <c r="C121" s="54"/>
      <c r="D121" s="44">
        <v>264922.06</v>
      </c>
      <c r="E121" s="44">
        <v>53200</v>
      </c>
      <c r="F121" s="119" t="s">
        <v>92</v>
      </c>
    </row>
    <row r="122" spans="1:6" x14ac:dyDescent="0.2">
      <c r="A122" s="42">
        <v>20</v>
      </c>
      <c r="B122" s="12" t="s">
        <v>152</v>
      </c>
      <c r="C122" s="54"/>
      <c r="D122" s="44">
        <v>117743.14</v>
      </c>
      <c r="E122" s="44">
        <v>95800</v>
      </c>
      <c r="F122" s="119" t="s">
        <v>94</v>
      </c>
    </row>
    <row r="123" spans="1:6" ht="31.5" x14ac:dyDescent="0.2">
      <c r="A123" s="42">
        <v>21</v>
      </c>
      <c r="B123" s="12" t="s">
        <v>153</v>
      </c>
      <c r="C123" s="54"/>
      <c r="D123" s="44">
        <v>47097.25</v>
      </c>
      <c r="E123" s="45"/>
      <c r="F123" s="45"/>
    </row>
    <row r="124" spans="1:6" x14ac:dyDescent="0.2">
      <c r="A124" s="42">
        <v>22</v>
      </c>
      <c r="B124" s="12" t="s">
        <v>154</v>
      </c>
      <c r="C124" s="54"/>
      <c r="D124" s="44">
        <v>47097.25</v>
      </c>
      <c r="E124" s="45"/>
      <c r="F124" s="45"/>
    </row>
    <row r="125" spans="1:6" x14ac:dyDescent="0.2">
      <c r="A125" s="42">
        <v>23</v>
      </c>
      <c r="B125" s="9" t="s">
        <v>155</v>
      </c>
      <c r="C125" s="54"/>
      <c r="D125" s="44">
        <v>323793.63</v>
      </c>
      <c r="E125" s="44">
        <v>175500</v>
      </c>
      <c r="F125" s="119" t="s">
        <v>156</v>
      </c>
    </row>
    <row r="126" spans="1:6" x14ac:dyDescent="0.2">
      <c r="A126" s="120">
        <v>24</v>
      </c>
      <c r="B126" s="9" t="s">
        <v>157</v>
      </c>
      <c r="C126" s="54"/>
      <c r="D126" s="44">
        <v>206050.49</v>
      </c>
      <c r="E126" s="44">
        <v>13600</v>
      </c>
      <c r="F126" s="44" t="s">
        <v>158</v>
      </c>
    </row>
    <row r="127" spans="1:6" ht="31.5" x14ac:dyDescent="0.2">
      <c r="A127" s="120"/>
      <c r="B127" s="9" t="s">
        <v>159</v>
      </c>
      <c r="C127" s="54"/>
      <c r="D127" s="44"/>
      <c r="E127" s="44">
        <v>64000</v>
      </c>
      <c r="F127" s="55" t="s">
        <v>88</v>
      </c>
    </row>
    <row r="128" spans="1:6" x14ac:dyDescent="0.2">
      <c r="A128" s="8">
        <v>25</v>
      </c>
      <c r="B128" s="9" t="s">
        <v>132</v>
      </c>
      <c r="C128" s="121"/>
      <c r="D128" s="122">
        <v>953719.41</v>
      </c>
      <c r="E128" s="123">
        <v>2512.36</v>
      </c>
      <c r="F128" s="123" t="s">
        <v>160</v>
      </c>
    </row>
    <row r="129" spans="1:6" x14ac:dyDescent="0.2">
      <c r="A129" s="124"/>
      <c r="B129" s="53" t="s">
        <v>22</v>
      </c>
      <c r="C129" s="54"/>
      <c r="D129" s="55">
        <v>7236406.8099999996</v>
      </c>
      <c r="E129" s="55">
        <f>SUM(E104:E128)</f>
        <v>2545912.36</v>
      </c>
      <c r="F129" s="45"/>
    </row>
    <row r="130" spans="1:6" x14ac:dyDescent="0.2">
      <c r="A130" s="52"/>
      <c r="B130" s="57" t="s">
        <v>23</v>
      </c>
      <c r="C130" s="54"/>
      <c r="D130" s="45"/>
      <c r="E130" s="125">
        <f>D103-E129</f>
        <v>13521229.68</v>
      </c>
      <c r="F130" s="45"/>
    </row>
    <row r="131" spans="1:6" x14ac:dyDescent="0.2">
      <c r="A131" s="852"/>
      <c r="B131" s="826"/>
      <c r="C131" s="827"/>
      <c r="D131" s="826"/>
      <c r="E131" s="826"/>
      <c r="F131" s="828"/>
    </row>
    <row r="132" spans="1:6" ht="24.75" customHeight="1" x14ac:dyDescent="0.2">
      <c r="A132" s="853" t="s">
        <v>161</v>
      </c>
      <c r="B132" s="846"/>
      <c r="C132" s="847"/>
      <c r="D132" s="846"/>
      <c r="E132" s="846"/>
      <c r="F132" s="848"/>
    </row>
    <row r="133" spans="1:6" x14ac:dyDescent="0.2">
      <c r="A133" s="8">
        <v>1</v>
      </c>
      <c r="B133" s="9" t="s">
        <v>7</v>
      </c>
      <c r="C133" s="126"/>
      <c r="D133" s="854">
        <v>5900000</v>
      </c>
      <c r="E133" s="855"/>
      <c r="F133" s="856"/>
    </row>
    <row r="134" spans="1:6" x14ac:dyDescent="0.2">
      <c r="A134" s="8">
        <v>2</v>
      </c>
      <c r="B134" s="9" t="s">
        <v>162</v>
      </c>
      <c r="C134" s="126"/>
      <c r="D134" s="122">
        <v>858000</v>
      </c>
      <c r="E134" s="122">
        <v>870000</v>
      </c>
      <c r="F134" s="122" t="s">
        <v>163</v>
      </c>
    </row>
    <row r="135" spans="1:6" x14ac:dyDescent="0.2">
      <c r="A135" s="8">
        <v>3</v>
      </c>
      <c r="B135" s="9" t="s">
        <v>164</v>
      </c>
      <c r="C135" s="126"/>
      <c r="D135" s="122">
        <v>1756000</v>
      </c>
      <c r="E135" s="122">
        <v>1756000</v>
      </c>
      <c r="F135" s="123"/>
    </row>
    <row r="136" spans="1:6" ht="31.5" x14ac:dyDescent="0.2">
      <c r="A136" s="8">
        <v>4</v>
      </c>
      <c r="B136" s="9" t="s">
        <v>165</v>
      </c>
      <c r="C136" s="126"/>
      <c r="D136" s="122">
        <v>216000</v>
      </c>
      <c r="E136" s="122">
        <v>216000</v>
      </c>
      <c r="F136" s="123"/>
    </row>
    <row r="137" spans="1:6" x14ac:dyDescent="0.2">
      <c r="A137" s="8">
        <v>5</v>
      </c>
      <c r="B137" s="9" t="s">
        <v>166</v>
      </c>
      <c r="C137" s="127">
        <v>10</v>
      </c>
      <c r="D137" s="122">
        <v>122800</v>
      </c>
      <c r="E137" s="123"/>
      <c r="F137" s="123"/>
    </row>
    <row r="138" spans="1:6" x14ac:dyDescent="0.2">
      <c r="A138" s="8">
        <v>6</v>
      </c>
      <c r="B138" s="9" t="s">
        <v>167</v>
      </c>
      <c r="C138" s="127">
        <v>2</v>
      </c>
      <c r="D138" s="122">
        <v>24560</v>
      </c>
      <c r="E138" s="123"/>
      <c r="F138" s="123"/>
    </row>
    <row r="139" spans="1:6" x14ac:dyDescent="0.2">
      <c r="A139" s="8">
        <v>7</v>
      </c>
      <c r="B139" s="9" t="s">
        <v>29</v>
      </c>
      <c r="C139" s="127">
        <v>4</v>
      </c>
      <c r="D139" s="122">
        <v>49120</v>
      </c>
      <c r="E139" s="122">
        <v>47900</v>
      </c>
      <c r="F139" s="123"/>
    </row>
    <row r="140" spans="1:6" x14ac:dyDescent="0.2">
      <c r="A140" s="8">
        <v>8</v>
      </c>
      <c r="B140" s="9" t="s">
        <v>168</v>
      </c>
      <c r="C140" s="127">
        <v>7</v>
      </c>
      <c r="D140" s="122">
        <v>85960</v>
      </c>
      <c r="E140" s="122">
        <v>79800</v>
      </c>
      <c r="F140" s="123"/>
    </row>
    <row r="141" spans="1:6" x14ac:dyDescent="0.2">
      <c r="A141" s="8">
        <v>9</v>
      </c>
      <c r="B141" s="9" t="s">
        <v>169</v>
      </c>
      <c r="C141" s="127">
        <v>6</v>
      </c>
      <c r="D141" s="122">
        <v>73680</v>
      </c>
      <c r="E141" s="857">
        <v>150000</v>
      </c>
      <c r="F141" s="123"/>
    </row>
    <row r="142" spans="1:6" x14ac:dyDescent="0.2">
      <c r="A142" s="8">
        <v>10</v>
      </c>
      <c r="B142" s="9" t="s">
        <v>170</v>
      </c>
      <c r="C142" s="127">
        <v>3</v>
      </c>
      <c r="D142" s="122">
        <v>36840</v>
      </c>
      <c r="E142" s="858"/>
      <c r="F142" s="123"/>
    </row>
    <row r="143" spans="1:6" x14ac:dyDescent="0.2">
      <c r="A143" s="8">
        <v>11</v>
      </c>
      <c r="B143" s="9" t="s">
        <v>171</v>
      </c>
      <c r="C143" s="127">
        <v>7</v>
      </c>
      <c r="D143" s="122">
        <v>85960</v>
      </c>
      <c r="E143" s="858"/>
      <c r="F143" s="123"/>
    </row>
    <row r="144" spans="1:6" x14ac:dyDescent="0.2">
      <c r="A144" s="8">
        <v>12</v>
      </c>
      <c r="B144" s="9" t="s">
        <v>40</v>
      </c>
      <c r="C144" s="127">
        <v>5</v>
      </c>
      <c r="D144" s="122">
        <v>61400</v>
      </c>
      <c r="E144" s="122">
        <v>0</v>
      </c>
      <c r="F144" s="122" t="s">
        <v>172</v>
      </c>
    </row>
    <row r="145" spans="1:6" x14ac:dyDescent="0.2">
      <c r="A145" s="8">
        <v>13</v>
      </c>
      <c r="B145" s="9" t="s">
        <v>173</v>
      </c>
      <c r="C145" s="127">
        <v>4.7</v>
      </c>
      <c r="D145" s="122">
        <v>57716</v>
      </c>
      <c r="E145" s="122">
        <v>56500</v>
      </c>
      <c r="F145" s="123"/>
    </row>
    <row r="146" spans="1:6" x14ac:dyDescent="0.2">
      <c r="A146" s="8">
        <v>14</v>
      </c>
      <c r="B146" s="9" t="s">
        <v>174</v>
      </c>
      <c r="C146" s="127">
        <v>7</v>
      </c>
      <c r="D146" s="122">
        <v>85960</v>
      </c>
      <c r="E146" s="122">
        <v>138300</v>
      </c>
      <c r="F146" s="123"/>
    </row>
    <row r="147" spans="1:6" x14ac:dyDescent="0.2">
      <c r="A147" s="8">
        <v>15</v>
      </c>
      <c r="B147" s="9" t="s">
        <v>175</v>
      </c>
      <c r="C147" s="127">
        <v>4.0999999999999996</v>
      </c>
      <c r="D147" s="122">
        <v>50348</v>
      </c>
      <c r="E147" s="122">
        <v>0</v>
      </c>
      <c r="F147" s="123"/>
    </row>
    <row r="148" spans="1:6" ht="31.5" x14ac:dyDescent="0.2">
      <c r="A148" s="8">
        <v>16</v>
      </c>
      <c r="B148" s="9" t="s">
        <v>44</v>
      </c>
      <c r="C148" s="127">
        <v>3.5</v>
      </c>
      <c r="D148" s="122">
        <v>42980</v>
      </c>
      <c r="E148" s="122">
        <v>35000</v>
      </c>
      <c r="F148" s="122" t="s">
        <v>176</v>
      </c>
    </row>
    <row r="149" spans="1:6" x14ac:dyDescent="0.2">
      <c r="A149" s="8">
        <v>17</v>
      </c>
      <c r="B149" s="9" t="s">
        <v>177</v>
      </c>
      <c r="C149" s="127">
        <v>2.5</v>
      </c>
      <c r="D149" s="122">
        <v>30700</v>
      </c>
      <c r="E149" s="123"/>
      <c r="F149" s="123"/>
    </row>
    <row r="150" spans="1:6" x14ac:dyDescent="0.2">
      <c r="A150" s="129"/>
      <c r="B150" s="53" t="s">
        <v>22</v>
      </c>
      <c r="C150" s="121"/>
      <c r="D150" s="130">
        <v>3638024</v>
      </c>
      <c r="E150" s="130">
        <v>3349500</v>
      </c>
      <c r="F150" s="93"/>
    </row>
    <row r="151" spans="1:6" x14ac:dyDescent="0.2">
      <c r="A151" s="129"/>
      <c r="B151" s="123"/>
      <c r="C151" s="121"/>
      <c r="D151" s="123"/>
      <c r="E151" s="58">
        <v>2550500</v>
      </c>
      <c r="F151" s="35" t="s">
        <v>24</v>
      </c>
    </row>
    <row r="152" spans="1:6" x14ac:dyDescent="0.2">
      <c r="A152" s="825"/>
      <c r="B152" s="826"/>
      <c r="C152" s="827"/>
      <c r="D152" s="826"/>
      <c r="E152" s="826"/>
      <c r="F152" s="841"/>
    </row>
    <row r="153" spans="1:6" ht="23.25" customHeight="1" x14ac:dyDescent="0.2">
      <c r="A153" s="845" t="s">
        <v>178</v>
      </c>
      <c r="B153" s="846"/>
      <c r="C153" s="847"/>
      <c r="D153" s="846"/>
      <c r="E153" s="846"/>
      <c r="F153" s="848"/>
    </row>
    <row r="154" spans="1:6" x14ac:dyDescent="0.2">
      <c r="A154" s="131">
        <v>1</v>
      </c>
      <c r="B154" s="9" t="s">
        <v>7</v>
      </c>
      <c r="C154" s="121"/>
      <c r="D154" s="820">
        <v>3430000</v>
      </c>
      <c r="E154" s="821"/>
      <c r="F154" s="822"/>
    </row>
    <row r="155" spans="1:6" x14ac:dyDescent="0.2">
      <c r="A155" s="131">
        <v>2</v>
      </c>
      <c r="B155" s="9" t="s">
        <v>179</v>
      </c>
      <c r="C155" s="121"/>
      <c r="D155" s="122" t="s">
        <v>180</v>
      </c>
      <c r="E155" s="122">
        <v>300000</v>
      </c>
      <c r="F155" s="123"/>
    </row>
    <row r="156" spans="1:6" x14ac:dyDescent="0.2">
      <c r="A156" s="131">
        <v>3</v>
      </c>
      <c r="B156" s="9" t="s">
        <v>181</v>
      </c>
      <c r="C156" s="121"/>
      <c r="D156" s="122" t="s">
        <v>182</v>
      </c>
      <c r="E156" s="122">
        <v>900000</v>
      </c>
      <c r="F156" s="123"/>
    </row>
    <row r="157" spans="1:6" x14ac:dyDescent="0.2">
      <c r="A157" s="131">
        <v>4</v>
      </c>
      <c r="B157" s="9" t="s">
        <v>166</v>
      </c>
      <c r="C157" s="121"/>
      <c r="D157" s="122" t="s">
        <v>183</v>
      </c>
      <c r="E157" s="123"/>
      <c r="F157" s="123"/>
    </row>
    <row r="158" spans="1:6" x14ac:dyDescent="0.2">
      <c r="A158" s="131">
        <v>5</v>
      </c>
      <c r="B158" s="9" t="s">
        <v>167</v>
      </c>
      <c r="C158" s="121"/>
      <c r="D158" s="122" t="s">
        <v>184</v>
      </c>
      <c r="E158" s="123"/>
      <c r="F158" s="123"/>
    </row>
    <row r="159" spans="1:6" x14ac:dyDescent="0.2">
      <c r="A159" s="131">
        <v>6</v>
      </c>
      <c r="B159" s="9" t="s">
        <v>12</v>
      </c>
      <c r="C159" s="121"/>
      <c r="D159" s="122" t="s">
        <v>185</v>
      </c>
      <c r="E159" s="123"/>
      <c r="F159" s="123"/>
    </row>
    <row r="160" spans="1:6" x14ac:dyDescent="0.2">
      <c r="A160" s="131">
        <v>7</v>
      </c>
      <c r="B160" s="9" t="s">
        <v>35</v>
      </c>
      <c r="C160" s="121"/>
      <c r="D160" s="122" t="s">
        <v>186</v>
      </c>
      <c r="E160" s="122">
        <v>85200</v>
      </c>
      <c r="F160" s="123"/>
    </row>
    <row r="161" spans="1:6" x14ac:dyDescent="0.2">
      <c r="A161" s="131">
        <v>8</v>
      </c>
      <c r="B161" s="9" t="s">
        <v>171</v>
      </c>
      <c r="C161" s="121"/>
      <c r="D161" s="122" t="s">
        <v>187</v>
      </c>
      <c r="E161" s="122">
        <v>106000</v>
      </c>
      <c r="F161" s="123"/>
    </row>
    <row r="162" spans="1:6" x14ac:dyDescent="0.2">
      <c r="A162" s="131">
        <v>9</v>
      </c>
      <c r="B162" s="9" t="s">
        <v>188</v>
      </c>
      <c r="C162" s="121"/>
      <c r="D162" s="122" t="s">
        <v>189</v>
      </c>
      <c r="E162" s="123"/>
      <c r="F162" s="122" t="s">
        <v>190</v>
      </c>
    </row>
    <row r="163" spans="1:6" x14ac:dyDescent="0.2">
      <c r="A163" s="131">
        <v>10</v>
      </c>
      <c r="B163" s="9" t="s">
        <v>191</v>
      </c>
      <c r="C163" s="121"/>
      <c r="D163" s="122" t="s">
        <v>185</v>
      </c>
      <c r="E163" s="123"/>
      <c r="F163" s="123"/>
    </row>
    <row r="164" spans="1:6" x14ac:dyDescent="0.2">
      <c r="A164" s="131">
        <v>11</v>
      </c>
      <c r="B164" s="9" t="s">
        <v>192</v>
      </c>
      <c r="C164" s="121"/>
      <c r="D164" s="122" t="s">
        <v>187</v>
      </c>
      <c r="E164" s="123"/>
      <c r="F164" s="122" t="s">
        <v>172</v>
      </c>
    </row>
    <row r="165" spans="1:6" x14ac:dyDescent="0.2">
      <c r="A165" s="131">
        <v>12</v>
      </c>
      <c r="B165" s="9" t="s">
        <v>42</v>
      </c>
      <c r="C165" s="121"/>
      <c r="D165" s="122" t="s">
        <v>183</v>
      </c>
      <c r="E165" s="123"/>
      <c r="F165" s="122" t="s">
        <v>193</v>
      </c>
    </row>
    <row r="166" spans="1:6" ht="31.5" x14ac:dyDescent="0.2">
      <c r="A166" s="131">
        <v>13</v>
      </c>
      <c r="B166" s="9" t="s">
        <v>44</v>
      </c>
      <c r="C166" s="121"/>
      <c r="D166" s="122" t="s">
        <v>194</v>
      </c>
      <c r="E166" s="122">
        <v>11000</v>
      </c>
      <c r="F166" s="122" t="s">
        <v>176</v>
      </c>
    </row>
    <row r="167" spans="1:6" x14ac:dyDescent="0.2">
      <c r="A167" s="129"/>
      <c r="B167" s="53" t="s">
        <v>22</v>
      </c>
      <c r="C167" s="121"/>
      <c r="D167" s="130" t="s">
        <v>195</v>
      </c>
      <c r="E167" s="130">
        <v>1402200</v>
      </c>
      <c r="F167" s="93"/>
    </row>
    <row r="168" spans="1:6" x14ac:dyDescent="0.2">
      <c r="A168" s="129"/>
      <c r="B168" s="57" t="s">
        <v>23</v>
      </c>
      <c r="C168" s="121"/>
      <c r="D168" s="123"/>
      <c r="E168" s="58">
        <v>2027800</v>
      </c>
      <c r="F168" s="35" t="s">
        <v>24</v>
      </c>
    </row>
    <row r="169" spans="1:6" x14ac:dyDescent="0.2">
      <c r="A169" s="825"/>
      <c r="B169" s="826"/>
      <c r="C169" s="827"/>
      <c r="D169" s="826"/>
      <c r="E169" s="826"/>
      <c r="F169" s="841"/>
    </row>
    <row r="170" spans="1:6" ht="30.75" customHeight="1" x14ac:dyDescent="0.2">
      <c r="A170" s="829" t="s">
        <v>196</v>
      </c>
      <c r="B170" s="830"/>
      <c r="C170" s="831"/>
      <c r="D170" s="830"/>
      <c r="E170" s="830"/>
      <c r="F170" s="832"/>
    </row>
    <row r="171" spans="1:6" x14ac:dyDescent="0.2">
      <c r="A171" s="131">
        <v>1</v>
      </c>
      <c r="B171" s="9" t="s">
        <v>7</v>
      </c>
      <c r="C171" s="121"/>
      <c r="D171" s="820">
        <v>3900000</v>
      </c>
      <c r="E171" s="821"/>
      <c r="F171" s="822"/>
    </row>
    <row r="172" spans="1:6" x14ac:dyDescent="0.2">
      <c r="A172" s="131">
        <v>2</v>
      </c>
      <c r="B172" s="9" t="s">
        <v>8</v>
      </c>
      <c r="C172" s="121"/>
      <c r="D172" s="122">
        <v>200000</v>
      </c>
      <c r="E172" s="122">
        <v>200000</v>
      </c>
      <c r="F172" s="123"/>
    </row>
    <row r="173" spans="1:6" x14ac:dyDescent="0.2">
      <c r="A173" s="131">
        <v>3</v>
      </c>
      <c r="B173" s="12" t="s">
        <v>11</v>
      </c>
      <c r="C173" s="121"/>
      <c r="D173" s="122">
        <v>70225</v>
      </c>
      <c r="E173" s="123"/>
      <c r="F173" s="123"/>
    </row>
    <row r="174" spans="1:6" x14ac:dyDescent="0.2">
      <c r="A174" s="131">
        <v>4</v>
      </c>
      <c r="B174" s="12" t="s">
        <v>197</v>
      </c>
      <c r="C174" s="121"/>
      <c r="D174" s="122">
        <v>258450</v>
      </c>
      <c r="E174" s="123"/>
      <c r="F174" s="123"/>
    </row>
    <row r="175" spans="1:6" x14ac:dyDescent="0.2">
      <c r="A175" s="131">
        <v>5</v>
      </c>
      <c r="B175" s="12" t="s">
        <v>198</v>
      </c>
      <c r="C175" s="121"/>
      <c r="D175" s="122">
        <v>120000</v>
      </c>
      <c r="E175" s="122">
        <v>50000</v>
      </c>
      <c r="F175" s="123"/>
    </row>
    <row r="176" spans="1:6" x14ac:dyDescent="0.2">
      <c r="A176" s="131">
        <v>6</v>
      </c>
      <c r="B176" s="12" t="s">
        <v>199</v>
      </c>
      <c r="C176" s="121"/>
      <c r="D176" s="122">
        <v>79267.5</v>
      </c>
      <c r="E176" s="122">
        <v>63850</v>
      </c>
      <c r="F176" s="123"/>
    </row>
    <row r="177" spans="1:6" x14ac:dyDescent="0.2">
      <c r="A177" s="131">
        <v>7</v>
      </c>
      <c r="B177" s="12" t="s">
        <v>200</v>
      </c>
      <c r="C177" s="121"/>
      <c r="D177" s="122">
        <v>100000</v>
      </c>
      <c r="E177" s="122">
        <v>85100</v>
      </c>
      <c r="F177" s="123"/>
    </row>
    <row r="178" spans="1:6" x14ac:dyDescent="0.2">
      <c r="A178" s="131">
        <v>8</v>
      </c>
      <c r="B178" s="12" t="s">
        <v>201</v>
      </c>
      <c r="C178" s="121"/>
      <c r="D178" s="122">
        <v>70000</v>
      </c>
      <c r="E178" s="122">
        <v>47900</v>
      </c>
      <c r="F178" s="123"/>
    </row>
    <row r="179" spans="1:6" x14ac:dyDescent="0.2">
      <c r="A179" s="131">
        <v>9</v>
      </c>
      <c r="B179" s="12" t="s">
        <v>202</v>
      </c>
      <c r="C179" s="121"/>
      <c r="D179" s="122">
        <v>50000</v>
      </c>
      <c r="E179" s="123"/>
      <c r="F179" s="123"/>
    </row>
    <row r="180" spans="1:6" x14ac:dyDescent="0.2">
      <c r="A180" s="131">
        <v>10</v>
      </c>
      <c r="B180" s="12" t="s">
        <v>203</v>
      </c>
      <c r="C180" s="121"/>
      <c r="D180" s="122">
        <v>52845</v>
      </c>
      <c r="E180" s="123"/>
      <c r="F180" s="123"/>
    </row>
    <row r="181" spans="1:6" ht="31.5" x14ac:dyDescent="0.2">
      <c r="A181" s="131">
        <v>11</v>
      </c>
      <c r="B181" s="12" t="s">
        <v>204</v>
      </c>
      <c r="C181" s="121"/>
      <c r="D181" s="122">
        <v>40000</v>
      </c>
      <c r="E181" s="122">
        <v>21300</v>
      </c>
      <c r="F181" s="123"/>
    </row>
    <row r="182" spans="1:6" x14ac:dyDescent="0.2">
      <c r="A182" s="131">
        <v>12</v>
      </c>
      <c r="B182" s="12" t="s">
        <v>205</v>
      </c>
      <c r="C182" s="121"/>
      <c r="D182" s="122">
        <v>37100</v>
      </c>
      <c r="E182" s="122">
        <v>37100</v>
      </c>
      <c r="F182" s="123"/>
    </row>
    <row r="183" spans="1:6" x14ac:dyDescent="0.2">
      <c r="A183" s="131">
        <v>13</v>
      </c>
      <c r="B183" s="12" t="s">
        <v>100</v>
      </c>
      <c r="C183" s="121"/>
      <c r="D183" s="122">
        <v>52500</v>
      </c>
      <c r="E183" s="123"/>
      <c r="F183" s="123"/>
    </row>
    <row r="184" spans="1:6" x14ac:dyDescent="0.2">
      <c r="A184" s="131">
        <v>14</v>
      </c>
      <c r="B184" s="12" t="s">
        <v>132</v>
      </c>
      <c r="C184" s="121"/>
      <c r="D184" s="122">
        <v>150000</v>
      </c>
      <c r="E184" s="123"/>
      <c r="F184" s="123"/>
    </row>
    <row r="185" spans="1:6" x14ac:dyDescent="0.2">
      <c r="A185" s="129"/>
      <c r="B185" s="53" t="s">
        <v>22</v>
      </c>
      <c r="C185" s="121"/>
      <c r="D185" s="130">
        <v>1280387.5</v>
      </c>
      <c r="E185" s="130">
        <v>505250</v>
      </c>
      <c r="F185" s="93"/>
    </row>
    <row r="186" spans="1:6" x14ac:dyDescent="0.2">
      <c r="A186" s="129"/>
      <c r="B186" s="57" t="s">
        <v>23</v>
      </c>
      <c r="C186" s="121"/>
      <c r="D186" s="123"/>
      <c r="E186" s="58">
        <f>D171-E185</f>
        <v>3394750</v>
      </c>
      <c r="F186" s="35" t="s">
        <v>24</v>
      </c>
    </row>
    <row r="187" spans="1:6" x14ac:dyDescent="0.2">
      <c r="A187" s="825"/>
      <c r="B187" s="826"/>
      <c r="C187" s="827"/>
      <c r="D187" s="826"/>
      <c r="E187" s="826"/>
      <c r="F187" s="841"/>
    </row>
    <row r="188" spans="1:6" ht="34.5" customHeight="1" x14ac:dyDescent="0.2">
      <c r="A188" s="829" t="s">
        <v>206</v>
      </c>
      <c r="B188" s="830"/>
      <c r="C188" s="831"/>
      <c r="D188" s="830"/>
      <c r="E188" s="830"/>
      <c r="F188" s="832"/>
    </row>
    <row r="189" spans="1:6" x14ac:dyDescent="0.2">
      <c r="A189" s="131">
        <v>1</v>
      </c>
      <c r="B189" s="9" t="s">
        <v>7</v>
      </c>
      <c r="C189" s="121"/>
      <c r="D189" s="820">
        <v>4540394.33</v>
      </c>
      <c r="E189" s="821"/>
      <c r="F189" s="822"/>
    </row>
    <row r="190" spans="1:6" x14ac:dyDescent="0.2">
      <c r="A190" s="131">
        <v>2</v>
      </c>
      <c r="B190" s="9" t="s">
        <v>8</v>
      </c>
      <c r="C190" s="121"/>
      <c r="D190" s="122" t="s">
        <v>207</v>
      </c>
      <c r="E190" s="122" t="s">
        <v>208</v>
      </c>
      <c r="F190" s="123"/>
    </row>
    <row r="191" spans="1:6" x14ac:dyDescent="0.2">
      <c r="A191" s="131">
        <v>3</v>
      </c>
      <c r="B191" s="12" t="s">
        <v>209</v>
      </c>
      <c r="C191" s="121"/>
      <c r="D191" s="122">
        <v>560000</v>
      </c>
      <c r="E191" s="122">
        <v>560000</v>
      </c>
      <c r="F191" s="123"/>
    </row>
    <row r="192" spans="1:6" x14ac:dyDescent="0.2">
      <c r="A192" s="131">
        <v>4</v>
      </c>
      <c r="B192" s="12" t="s">
        <v>210</v>
      </c>
      <c r="C192" s="121"/>
      <c r="D192" s="122">
        <v>21276</v>
      </c>
      <c r="E192" s="122">
        <v>21276</v>
      </c>
      <c r="F192" s="93"/>
    </row>
    <row r="193" spans="1:6" x14ac:dyDescent="0.2">
      <c r="A193" s="131">
        <v>5</v>
      </c>
      <c r="B193" s="12" t="s">
        <v>11</v>
      </c>
      <c r="C193" s="121"/>
      <c r="D193" s="122">
        <v>140450</v>
      </c>
      <c r="E193" s="132"/>
      <c r="F193" s="133" t="s">
        <v>211</v>
      </c>
    </row>
    <row r="194" spans="1:6" x14ac:dyDescent="0.2">
      <c r="A194" s="131">
        <v>6</v>
      </c>
      <c r="B194" s="12" t="s">
        <v>197</v>
      </c>
      <c r="C194" s="121"/>
      <c r="D194" s="122">
        <v>387675</v>
      </c>
      <c r="E194" s="132"/>
      <c r="F194" s="133" t="s">
        <v>211</v>
      </c>
    </row>
    <row r="195" spans="1:6" x14ac:dyDescent="0.2">
      <c r="A195" s="131">
        <v>7</v>
      </c>
      <c r="B195" s="12" t="s">
        <v>198</v>
      </c>
      <c r="C195" s="121"/>
      <c r="D195" s="122">
        <v>230000</v>
      </c>
      <c r="E195" s="123"/>
      <c r="F195" s="134"/>
    </row>
    <row r="196" spans="1:6" ht="31.5" x14ac:dyDescent="0.2">
      <c r="A196" s="131">
        <v>8</v>
      </c>
      <c r="B196" s="12" t="s">
        <v>212</v>
      </c>
      <c r="C196" s="121"/>
      <c r="D196" s="122">
        <v>3000</v>
      </c>
      <c r="E196" s="122">
        <v>3000</v>
      </c>
      <c r="F196" s="123"/>
    </row>
    <row r="197" spans="1:6" x14ac:dyDescent="0.2">
      <c r="A197" s="131">
        <v>9</v>
      </c>
      <c r="B197" s="12" t="s">
        <v>199</v>
      </c>
      <c r="C197" s="121"/>
      <c r="D197" s="122">
        <v>347896.25</v>
      </c>
      <c r="E197" s="123"/>
      <c r="F197" s="123"/>
    </row>
    <row r="198" spans="1:6" x14ac:dyDescent="0.2">
      <c r="A198" s="131">
        <v>10</v>
      </c>
      <c r="B198" s="12" t="s">
        <v>200</v>
      </c>
      <c r="C198" s="121"/>
      <c r="D198" s="122">
        <v>350000</v>
      </c>
      <c r="E198" s="122">
        <v>250000</v>
      </c>
      <c r="F198" s="123"/>
    </row>
    <row r="199" spans="1:6" x14ac:dyDescent="0.2">
      <c r="A199" s="131">
        <v>11</v>
      </c>
      <c r="B199" s="12" t="s">
        <v>201</v>
      </c>
      <c r="C199" s="121"/>
      <c r="D199" s="122">
        <v>240000</v>
      </c>
      <c r="E199" s="122">
        <v>95744</v>
      </c>
      <c r="F199" s="123"/>
    </row>
    <row r="200" spans="1:6" x14ac:dyDescent="0.2">
      <c r="A200" s="131">
        <v>12</v>
      </c>
      <c r="B200" s="12" t="s">
        <v>213</v>
      </c>
      <c r="C200" s="121"/>
      <c r="D200" s="122">
        <v>90000</v>
      </c>
      <c r="E200" s="123"/>
      <c r="F200" s="123"/>
    </row>
    <row r="201" spans="1:6" x14ac:dyDescent="0.2">
      <c r="A201" s="131">
        <v>13</v>
      </c>
      <c r="B201" s="12" t="s">
        <v>202</v>
      </c>
      <c r="C201" s="121"/>
      <c r="D201" s="122">
        <v>85000</v>
      </c>
      <c r="E201" s="122">
        <v>39820</v>
      </c>
      <c r="F201" s="123"/>
    </row>
    <row r="202" spans="1:6" ht="31.5" x14ac:dyDescent="0.2">
      <c r="A202" s="131">
        <v>14</v>
      </c>
      <c r="B202" s="12" t="s">
        <v>214</v>
      </c>
      <c r="C202" s="121"/>
      <c r="D202" s="122">
        <v>90000</v>
      </c>
      <c r="E202" s="123"/>
      <c r="F202" s="123"/>
    </row>
    <row r="203" spans="1:6" x14ac:dyDescent="0.2">
      <c r="A203" s="131">
        <v>15</v>
      </c>
      <c r="B203" s="12" t="s">
        <v>203</v>
      </c>
      <c r="C203" s="121"/>
      <c r="D203" s="122">
        <v>198168</v>
      </c>
      <c r="E203" s="123"/>
      <c r="F203" s="123"/>
    </row>
    <row r="204" spans="1:6" x14ac:dyDescent="0.2">
      <c r="A204" s="131">
        <v>16</v>
      </c>
      <c r="B204" s="12" t="s">
        <v>215</v>
      </c>
      <c r="C204" s="121"/>
      <c r="D204" s="123"/>
      <c r="E204" s="123"/>
      <c r="F204" s="123"/>
    </row>
    <row r="205" spans="1:6" x14ac:dyDescent="0.2">
      <c r="A205" s="131">
        <v>17</v>
      </c>
      <c r="B205" s="12" t="s">
        <v>216</v>
      </c>
      <c r="C205" s="121"/>
      <c r="D205" s="122">
        <v>90000</v>
      </c>
      <c r="E205" s="123"/>
      <c r="F205" s="123"/>
    </row>
    <row r="206" spans="1:6" ht="31.5" x14ac:dyDescent="0.2">
      <c r="A206" s="131">
        <v>18</v>
      </c>
      <c r="B206" s="12" t="s">
        <v>204</v>
      </c>
      <c r="C206" s="121"/>
      <c r="D206" s="122">
        <v>210000</v>
      </c>
      <c r="E206" s="122">
        <v>21276</v>
      </c>
      <c r="F206" s="123"/>
    </row>
    <row r="207" spans="1:6" x14ac:dyDescent="0.2">
      <c r="A207" s="131">
        <v>19</v>
      </c>
      <c r="B207" s="12" t="s">
        <v>217</v>
      </c>
      <c r="C207" s="121"/>
      <c r="D207" s="122">
        <v>60000</v>
      </c>
      <c r="E207" s="123"/>
      <c r="F207" s="123"/>
    </row>
    <row r="208" spans="1:6" x14ac:dyDescent="0.2">
      <c r="A208" s="131">
        <v>20</v>
      </c>
      <c r="B208" s="12" t="s">
        <v>218</v>
      </c>
      <c r="C208" s="121"/>
      <c r="D208" s="123"/>
      <c r="E208" s="123"/>
      <c r="F208" s="123"/>
    </row>
    <row r="209" spans="1:6" x14ac:dyDescent="0.2">
      <c r="A209" s="131">
        <v>21</v>
      </c>
      <c r="B209" s="12" t="s">
        <v>154</v>
      </c>
      <c r="C209" s="121"/>
      <c r="D209" s="122">
        <v>25000</v>
      </c>
      <c r="E209" s="123"/>
      <c r="F209" s="123"/>
    </row>
    <row r="210" spans="1:6" ht="31.5" x14ac:dyDescent="0.2">
      <c r="A210" s="131">
        <v>22</v>
      </c>
      <c r="B210" s="12" t="s">
        <v>219</v>
      </c>
      <c r="C210" s="121"/>
      <c r="D210" s="122">
        <v>100000</v>
      </c>
      <c r="E210" s="123"/>
      <c r="F210" s="123"/>
    </row>
    <row r="211" spans="1:6" x14ac:dyDescent="0.2">
      <c r="A211" s="131">
        <v>23</v>
      </c>
      <c r="B211" s="12" t="s">
        <v>205</v>
      </c>
      <c r="C211" s="121"/>
      <c r="D211" s="122">
        <v>90000</v>
      </c>
      <c r="E211" s="122">
        <v>45000</v>
      </c>
      <c r="F211" s="123"/>
    </row>
    <row r="212" spans="1:6" ht="31.5" x14ac:dyDescent="0.2">
      <c r="A212" s="131">
        <v>24</v>
      </c>
      <c r="B212" s="12" t="s">
        <v>100</v>
      </c>
      <c r="C212" s="121"/>
      <c r="D212" s="122">
        <v>131250</v>
      </c>
      <c r="E212" s="122">
        <v>37800</v>
      </c>
      <c r="F212" s="122" t="s">
        <v>176</v>
      </c>
    </row>
    <row r="213" spans="1:6" x14ac:dyDescent="0.2">
      <c r="A213" s="131">
        <v>25</v>
      </c>
      <c r="B213" s="12" t="s">
        <v>132</v>
      </c>
      <c r="C213" s="121"/>
      <c r="D213" s="122">
        <v>250000</v>
      </c>
      <c r="E213" s="123"/>
      <c r="F213" s="123"/>
    </row>
    <row r="214" spans="1:6" x14ac:dyDescent="0.2">
      <c r="A214" s="129"/>
      <c r="B214" s="53" t="s">
        <v>22</v>
      </c>
      <c r="C214" s="121"/>
      <c r="D214" s="130">
        <f>SUM(D190:D213)</f>
        <v>3699715.25</v>
      </c>
      <c r="E214" s="130">
        <f>SUM(E190:E213)</f>
        <v>1073916</v>
      </c>
      <c r="F214" s="93"/>
    </row>
    <row r="215" spans="1:6" x14ac:dyDescent="0.2">
      <c r="A215" s="129"/>
      <c r="B215" s="57" t="s">
        <v>23</v>
      </c>
      <c r="C215" s="121"/>
      <c r="D215" s="123"/>
      <c r="E215" s="58">
        <f>D189-E214</f>
        <v>3466478.33</v>
      </c>
      <c r="F215" s="35" t="s">
        <v>24</v>
      </c>
    </row>
    <row r="216" spans="1:6" x14ac:dyDescent="0.2">
      <c r="A216" s="825"/>
      <c r="B216" s="826"/>
      <c r="C216" s="827"/>
      <c r="D216" s="826"/>
      <c r="E216" s="826"/>
      <c r="F216" s="841"/>
    </row>
    <row r="217" spans="1:6" ht="33.75" customHeight="1" x14ac:dyDescent="0.2">
      <c r="A217" s="829" t="s">
        <v>220</v>
      </c>
      <c r="B217" s="830"/>
      <c r="C217" s="831"/>
      <c r="D217" s="830"/>
      <c r="E217" s="830"/>
      <c r="F217" s="832"/>
    </row>
    <row r="218" spans="1:6" x14ac:dyDescent="0.2">
      <c r="A218" s="131">
        <v>1</v>
      </c>
      <c r="B218" s="9" t="s">
        <v>7</v>
      </c>
      <c r="C218" s="121"/>
      <c r="D218" s="820">
        <v>599834.24</v>
      </c>
      <c r="E218" s="821"/>
      <c r="F218" s="822"/>
    </row>
    <row r="219" spans="1:6" x14ac:dyDescent="0.2">
      <c r="A219" s="131">
        <v>2</v>
      </c>
      <c r="B219" s="12" t="s">
        <v>221</v>
      </c>
      <c r="C219" s="121"/>
      <c r="D219" s="122">
        <v>100000</v>
      </c>
      <c r="E219" s="122">
        <v>84656</v>
      </c>
      <c r="F219" s="93"/>
    </row>
    <row r="220" spans="1:6" x14ac:dyDescent="0.2">
      <c r="A220" s="131">
        <v>3</v>
      </c>
      <c r="B220" s="12" t="s">
        <v>11</v>
      </c>
      <c r="C220" s="121"/>
      <c r="D220" s="122">
        <v>17556.25</v>
      </c>
      <c r="E220" s="132"/>
      <c r="F220" s="133" t="s">
        <v>211</v>
      </c>
    </row>
    <row r="221" spans="1:6" x14ac:dyDescent="0.2">
      <c r="A221" s="131">
        <v>4</v>
      </c>
      <c r="B221" s="12" t="s">
        <v>222</v>
      </c>
      <c r="C221" s="121"/>
      <c r="D221" s="122">
        <v>43075</v>
      </c>
      <c r="E221" s="132"/>
      <c r="F221" s="133" t="s">
        <v>211</v>
      </c>
    </row>
    <row r="222" spans="1:6" x14ac:dyDescent="0.2">
      <c r="A222" s="131">
        <v>5</v>
      </c>
      <c r="B222" s="12" t="s">
        <v>198</v>
      </c>
      <c r="C222" s="121"/>
      <c r="D222" s="122">
        <v>35000</v>
      </c>
      <c r="E222" s="122">
        <v>30000</v>
      </c>
      <c r="F222" s="134"/>
    </row>
    <row r="223" spans="1:6" x14ac:dyDescent="0.2">
      <c r="A223" s="131">
        <v>6</v>
      </c>
      <c r="B223" s="12" t="s">
        <v>199</v>
      </c>
      <c r="C223" s="121"/>
      <c r="D223" s="122">
        <v>26422</v>
      </c>
      <c r="E223" s="123"/>
      <c r="F223" s="123"/>
    </row>
    <row r="224" spans="1:6" x14ac:dyDescent="0.2">
      <c r="A224" s="131">
        <v>7</v>
      </c>
      <c r="B224" s="12" t="s">
        <v>200</v>
      </c>
      <c r="C224" s="121"/>
      <c r="D224" s="122">
        <v>0</v>
      </c>
      <c r="E224" s="123"/>
      <c r="F224" s="123"/>
    </row>
    <row r="225" spans="1:6" x14ac:dyDescent="0.2">
      <c r="A225" s="131">
        <v>8</v>
      </c>
      <c r="B225" s="12" t="s">
        <v>201</v>
      </c>
      <c r="C225" s="121"/>
      <c r="D225" s="122">
        <v>25000</v>
      </c>
      <c r="E225" s="122">
        <v>26600</v>
      </c>
      <c r="F225" s="123"/>
    </row>
    <row r="226" spans="1:6" x14ac:dyDescent="0.2">
      <c r="A226" s="131">
        <v>9</v>
      </c>
      <c r="B226" s="12" t="s">
        <v>213</v>
      </c>
      <c r="C226" s="121"/>
      <c r="D226" s="123"/>
      <c r="E226" s="123"/>
      <c r="F226" s="123"/>
    </row>
    <row r="227" spans="1:6" x14ac:dyDescent="0.2">
      <c r="A227" s="131">
        <v>10</v>
      </c>
      <c r="B227" s="12" t="s">
        <v>202</v>
      </c>
      <c r="C227" s="121"/>
      <c r="D227" s="122">
        <v>20000</v>
      </c>
      <c r="E227" s="122">
        <v>21300</v>
      </c>
      <c r="F227" s="123"/>
    </row>
    <row r="228" spans="1:6" ht="31.5" x14ac:dyDescent="0.2">
      <c r="A228" s="131">
        <v>11</v>
      </c>
      <c r="B228" s="12" t="s">
        <v>214</v>
      </c>
      <c r="C228" s="121"/>
      <c r="D228" s="123"/>
      <c r="E228" s="123"/>
      <c r="F228" s="123"/>
    </row>
    <row r="229" spans="1:6" x14ac:dyDescent="0.2">
      <c r="A229" s="131">
        <v>12</v>
      </c>
      <c r="B229" s="12" t="s">
        <v>203</v>
      </c>
      <c r="C229" s="121"/>
      <c r="D229" s="122">
        <v>13211.25</v>
      </c>
      <c r="E229" s="123"/>
      <c r="F229" s="123"/>
    </row>
    <row r="230" spans="1:6" x14ac:dyDescent="0.2">
      <c r="A230" s="131">
        <v>13</v>
      </c>
      <c r="B230" s="12" t="s">
        <v>215</v>
      </c>
      <c r="C230" s="121"/>
      <c r="D230" s="123"/>
      <c r="E230" s="123"/>
      <c r="F230" s="123"/>
    </row>
    <row r="231" spans="1:6" x14ac:dyDescent="0.2">
      <c r="A231" s="131">
        <v>14</v>
      </c>
      <c r="B231" s="12" t="s">
        <v>216</v>
      </c>
      <c r="C231" s="121"/>
      <c r="D231" s="123"/>
      <c r="E231" s="123"/>
      <c r="F231" s="123"/>
    </row>
    <row r="232" spans="1:6" ht="31.5" x14ac:dyDescent="0.2">
      <c r="A232" s="131">
        <v>15</v>
      </c>
      <c r="B232" s="12" t="s">
        <v>204</v>
      </c>
      <c r="C232" s="121"/>
      <c r="D232" s="122">
        <v>15000</v>
      </c>
      <c r="E232" s="123"/>
      <c r="F232" s="123"/>
    </row>
    <row r="233" spans="1:6" x14ac:dyDescent="0.2">
      <c r="A233" s="131">
        <v>16</v>
      </c>
      <c r="B233" s="12" t="s">
        <v>217</v>
      </c>
      <c r="C233" s="121"/>
      <c r="D233" s="123"/>
      <c r="E233" s="123"/>
      <c r="F233" s="123"/>
    </row>
    <row r="234" spans="1:6" x14ac:dyDescent="0.2">
      <c r="A234" s="131">
        <v>17</v>
      </c>
      <c r="B234" s="12" t="s">
        <v>218</v>
      </c>
      <c r="C234" s="121"/>
      <c r="D234" s="123"/>
      <c r="E234" s="123"/>
      <c r="F234" s="123"/>
    </row>
    <row r="235" spans="1:6" x14ac:dyDescent="0.2">
      <c r="A235" s="131">
        <v>18</v>
      </c>
      <c r="B235" s="12" t="s">
        <v>154</v>
      </c>
      <c r="C235" s="121"/>
      <c r="D235" s="122">
        <v>20000</v>
      </c>
      <c r="E235" s="123"/>
      <c r="F235" s="123"/>
    </row>
    <row r="236" spans="1:6" ht="31.5" x14ac:dyDescent="0.2">
      <c r="A236" s="131">
        <v>19</v>
      </c>
      <c r="B236" s="12" t="s">
        <v>219</v>
      </c>
      <c r="C236" s="121"/>
      <c r="D236" s="123"/>
      <c r="E236" s="123"/>
      <c r="F236" s="123"/>
    </row>
    <row r="237" spans="1:6" ht="31.5" x14ac:dyDescent="0.2">
      <c r="A237" s="131">
        <v>20</v>
      </c>
      <c r="B237" s="12" t="s">
        <v>219</v>
      </c>
      <c r="C237" s="121"/>
      <c r="D237" s="123"/>
      <c r="E237" s="123"/>
      <c r="F237" s="123"/>
    </row>
    <row r="238" spans="1:6" x14ac:dyDescent="0.2">
      <c r="A238" s="131">
        <v>21</v>
      </c>
      <c r="B238" s="12" t="s">
        <v>223</v>
      </c>
      <c r="C238" s="121"/>
      <c r="D238" s="122">
        <v>30000</v>
      </c>
      <c r="E238" s="122">
        <v>30000</v>
      </c>
      <c r="F238" s="123"/>
    </row>
    <row r="239" spans="1:6" ht="31.5" x14ac:dyDescent="0.2">
      <c r="A239" s="131">
        <v>22</v>
      </c>
      <c r="B239" s="12" t="s">
        <v>100</v>
      </c>
      <c r="C239" s="121"/>
      <c r="D239" s="122">
        <v>45000</v>
      </c>
      <c r="E239" s="122">
        <v>12000</v>
      </c>
      <c r="F239" s="122" t="s">
        <v>176</v>
      </c>
    </row>
    <row r="240" spans="1:6" x14ac:dyDescent="0.2">
      <c r="A240" s="131">
        <v>23</v>
      </c>
      <c r="B240" s="12" t="s">
        <v>132</v>
      </c>
      <c r="C240" s="121"/>
      <c r="D240" s="122">
        <v>35000</v>
      </c>
      <c r="E240" s="123"/>
      <c r="F240" s="123"/>
    </row>
    <row r="241" spans="1:6" x14ac:dyDescent="0.2">
      <c r="A241" s="129"/>
      <c r="B241" s="53" t="s">
        <v>22</v>
      </c>
      <c r="C241" s="121"/>
      <c r="D241" s="130">
        <v>425264.5</v>
      </c>
      <c r="E241" s="130">
        <v>204556</v>
      </c>
      <c r="F241" s="123"/>
    </row>
    <row r="242" spans="1:6" x14ac:dyDescent="0.2">
      <c r="A242" s="129"/>
      <c r="B242" s="57" t="s">
        <v>23</v>
      </c>
      <c r="C242" s="121"/>
      <c r="D242" s="123"/>
      <c r="E242" s="125">
        <v>395278.24</v>
      </c>
      <c r="F242" s="123"/>
    </row>
    <row r="243" spans="1:6" x14ac:dyDescent="0.2">
      <c r="A243" s="825"/>
      <c r="B243" s="826"/>
      <c r="C243" s="827"/>
      <c r="D243" s="826"/>
      <c r="E243" s="826"/>
      <c r="F243" s="828"/>
    </row>
    <row r="244" spans="1:6" ht="33.75" customHeight="1" x14ac:dyDescent="0.2">
      <c r="A244" s="829" t="s">
        <v>224</v>
      </c>
      <c r="B244" s="830"/>
      <c r="C244" s="831"/>
      <c r="D244" s="830"/>
      <c r="E244" s="830"/>
      <c r="F244" s="832"/>
    </row>
    <row r="245" spans="1:6" x14ac:dyDescent="0.2">
      <c r="A245" s="131">
        <v>1</v>
      </c>
      <c r="B245" s="9" t="s">
        <v>7</v>
      </c>
      <c r="C245" s="121"/>
      <c r="D245" s="820">
        <v>466000</v>
      </c>
      <c r="E245" s="821"/>
      <c r="F245" s="822"/>
    </row>
    <row r="246" spans="1:6" x14ac:dyDescent="0.2">
      <c r="A246" s="131">
        <v>2</v>
      </c>
      <c r="B246" s="12" t="s">
        <v>221</v>
      </c>
      <c r="C246" s="121"/>
      <c r="D246" s="122">
        <v>100000</v>
      </c>
      <c r="E246" s="122">
        <v>69233</v>
      </c>
      <c r="F246" s="93"/>
    </row>
    <row r="247" spans="1:6" x14ac:dyDescent="0.2">
      <c r="A247" s="131">
        <v>3</v>
      </c>
      <c r="B247" s="12" t="s">
        <v>11</v>
      </c>
      <c r="C247" s="121"/>
      <c r="D247" s="122">
        <v>17556.25</v>
      </c>
      <c r="E247" s="132"/>
      <c r="F247" s="133" t="s">
        <v>211</v>
      </c>
    </row>
    <row r="248" spans="1:6" x14ac:dyDescent="0.2">
      <c r="A248" s="131">
        <v>4</v>
      </c>
      <c r="B248" s="12" t="s">
        <v>222</v>
      </c>
      <c r="C248" s="121"/>
      <c r="D248" s="122">
        <v>51690</v>
      </c>
      <c r="E248" s="132"/>
      <c r="F248" s="133" t="s">
        <v>211</v>
      </c>
    </row>
    <row r="249" spans="1:6" x14ac:dyDescent="0.2">
      <c r="A249" s="131">
        <v>5</v>
      </c>
      <c r="B249" s="12" t="s">
        <v>198</v>
      </c>
      <c r="C249" s="121"/>
      <c r="D249" s="122">
        <v>25000</v>
      </c>
      <c r="E249" s="122">
        <v>21280</v>
      </c>
      <c r="F249" s="134"/>
    </row>
    <row r="250" spans="1:6" x14ac:dyDescent="0.2">
      <c r="A250" s="131">
        <v>6</v>
      </c>
      <c r="B250" s="12" t="s">
        <v>199</v>
      </c>
      <c r="C250" s="121"/>
      <c r="D250" s="122">
        <v>26422.5</v>
      </c>
      <c r="E250" s="123"/>
      <c r="F250" s="123"/>
    </row>
    <row r="251" spans="1:6" x14ac:dyDescent="0.2">
      <c r="A251" s="131">
        <v>7</v>
      </c>
      <c r="B251" s="12" t="s">
        <v>200</v>
      </c>
      <c r="C251" s="121"/>
      <c r="D251" s="122">
        <v>0</v>
      </c>
      <c r="E251" s="123"/>
      <c r="F251" s="123"/>
    </row>
    <row r="252" spans="1:6" x14ac:dyDescent="0.2">
      <c r="A252" s="131">
        <v>8</v>
      </c>
      <c r="B252" s="12" t="s">
        <v>201</v>
      </c>
      <c r="C252" s="121"/>
      <c r="D252" s="122">
        <v>25000</v>
      </c>
      <c r="E252" s="122">
        <v>21300</v>
      </c>
      <c r="F252" s="123"/>
    </row>
    <row r="253" spans="1:6" x14ac:dyDescent="0.2">
      <c r="A253" s="131">
        <v>9</v>
      </c>
      <c r="B253" s="12" t="s">
        <v>213</v>
      </c>
      <c r="C253" s="121"/>
      <c r="D253" s="123"/>
      <c r="E253" s="123"/>
      <c r="F253" s="123"/>
    </row>
    <row r="254" spans="1:6" x14ac:dyDescent="0.2">
      <c r="A254" s="131">
        <v>10</v>
      </c>
      <c r="B254" s="12" t="s">
        <v>202</v>
      </c>
      <c r="C254" s="121"/>
      <c r="D254" s="122">
        <v>20000</v>
      </c>
      <c r="E254" s="123"/>
      <c r="F254" s="123"/>
    </row>
    <row r="255" spans="1:6" ht="31.5" x14ac:dyDescent="0.2">
      <c r="A255" s="131">
        <v>11</v>
      </c>
      <c r="B255" s="12" t="s">
        <v>214</v>
      </c>
      <c r="C255" s="121"/>
      <c r="D255" s="123"/>
      <c r="E255" s="123"/>
      <c r="F255" s="123"/>
    </row>
    <row r="256" spans="1:6" x14ac:dyDescent="0.2">
      <c r="A256" s="131">
        <v>12</v>
      </c>
      <c r="B256" s="12" t="s">
        <v>203</v>
      </c>
      <c r="C256" s="121"/>
      <c r="D256" s="122">
        <v>13211.25</v>
      </c>
      <c r="E256" s="123"/>
      <c r="F256" s="123"/>
    </row>
    <row r="257" spans="1:6" x14ac:dyDescent="0.2">
      <c r="A257" s="131">
        <v>13</v>
      </c>
      <c r="B257" s="12" t="s">
        <v>215</v>
      </c>
      <c r="C257" s="121"/>
      <c r="D257" s="123"/>
      <c r="E257" s="123"/>
      <c r="F257" s="123"/>
    </row>
    <row r="258" spans="1:6" x14ac:dyDescent="0.2">
      <c r="A258" s="131">
        <v>14</v>
      </c>
      <c r="B258" s="12" t="s">
        <v>216</v>
      </c>
      <c r="C258" s="121"/>
      <c r="D258" s="123"/>
      <c r="E258" s="123"/>
      <c r="F258" s="123"/>
    </row>
    <row r="259" spans="1:6" ht="31.5" x14ac:dyDescent="0.2">
      <c r="A259" s="131">
        <v>15</v>
      </c>
      <c r="B259" s="12" t="s">
        <v>204</v>
      </c>
      <c r="C259" s="121"/>
      <c r="D259" s="122">
        <v>10000</v>
      </c>
      <c r="E259" s="123"/>
      <c r="F259" s="123"/>
    </row>
    <row r="260" spans="1:6" x14ac:dyDescent="0.2">
      <c r="A260" s="131">
        <v>16</v>
      </c>
      <c r="B260" s="12" t="s">
        <v>217</v>
      </c>
      <c r="C260" s="121"/>
      <c r="D260" s="123"/>
      <c r="E260" s="123"/>
      <c r="F260" s="123"/>
    </row>
    <row r="261" spans="1:6" x14ac:dyDescent="0.2">
      <c r="A261" s="131">
        <v>17</v>
      </c>
      <c r="B261" s="12" t="s">
        <v>218</v>
      </c>
      <c r="C261" s="121"/>
      <c r="D261" s="123"/>
      <c r="E261" s="123"/>
      <c r="F261" s="123"/>
    </row>
    <row r="262" spans="1:6" x14ac:dyDescent="0.2">
      <c r="A262" s="131">
        <v>18</v>
      </c>
      <c r="B262" s="12" t="s">
        <v>154</v>
      </c>
      <c r="C262" s="121"/>
      <c r="D262" s="123"/>
      <c r="E262" s="123"/>
      <c r="F262" s="123"/>
    </row>
    <row r="263" spans="1:6" ht="31.5" x14ac:dyDescent="0.2">
      <c r="A263" s="131">
        <v>19</v>
      </c>
      <c r="B263" s="12" t="s">
        <v>219</v>
      </c>
      <c r="C263" s="121"/>
      <c r="D263" s="123"/>
      <c r="E263" s="123"/>
      <c r="F263" s="123"/>
    </row>
    <row r="264" spans="1:6" ht="31.5" x14ac:dyDescent="0.2">
      <c r="A264" s="131">
        <v>20</v>
      </c>
      <c r="B264" s="12" t="s">
        <v>219</v>
      </c>
      <c r="C264" s="121"/>
      <c r="D264" s="123"/>
      <c r="E264" s="123"/>
      <c r="F264" s="123"/>
    </row>
    <row r="265" spans="1:6" x14ac:dyDescent="0.2">
      <c r="A265" s="131">
        <v>21</v>
      </c>
      <c r="B265" s="12" t="s">
        <v>223</v>
      </c>
      <c r="C265" s="121"/>
      <c r="D265" s="122">
        <v>20000</v>
      </c>
      <c r="E265" s="123"/>
      <c r="F265" s="93"/>
    </row>
    <row r="266" spans="1:6" x14ac:dyDescent="0.2">
      <c r="A266" s="131">
        <v>22</v>
      </c>
      <c r="B266" s="12" t="s">
        <v>100</v>
      </c>
      <c r="C266" s="121"/>
      <c r="D266" s="122">
        <v>45000</v>
      </c>
      <c r="E266" s="132"/>
      <c r="F266" s="133" t="s">
        <v>211</v>
      </c>
    </row>
    <row r="267" spans="1:6" x14ac:dyDescent="0.2">
      <c r="A267" s="131">
        <v>23</v>
      </c>
      <c r="B267" s="12" t="s">
        <v>132</v>
      </c>
      <c r="C267" s="121"/>
      <c r="D267" s="122">
        <v>35000</v>
      </c>
      <c r="E267" s="123"/>
      <c r="F267" s="134"/>
    </row>
    <row r="268" spans="1:6" x14ac:dyDescent="0.2">
      <c r="A268" s="129"/>
      <c r="B268" s="53" t="s">
        <v>22</v>
      </c>
      <c r="C268" s="121"/>
      <c r="D268" s="130">
        <v>388880</v>
      </c>
      <c r="E268" s="130">
        <v>111813</v>
      </c>
      <c r="F268" s="123"/>
    </row>
    <row r="269" spans="1:6" x14ac:dyDescent="0.2">
      <c r="A269" s="129"/>
      <c r="B269" s="57" t="s">
        <v>23</v>
      </c>
      <c r="C269" s="121"/>
      <c r="D269" s="123"/>
      <c r="E269" s="125">
        <v>354187</v>
      </c>
      <c r="F269" s="123"/>
    </row>
    <row r="270" spans="1:6" x14ac:dyDescent="0.2">
      <c r="A270" s="825"/>
      <c r="B270" s="826"/>
      <c r="C270" s="827"/>
      <c r="D270" s="826"/>
      <c r="E270" s="826"/>
      <c r="F270" s="828"/>
    </row>
    <row r="271" spans="1:6" ht="25.5" customHeight="1" x14ac:dyDescent="0.2">
      <c r="A271" s="829" t="s">
        <v>225</v>
      </c>
      <c r="B271" s="830"/>
      <c r="C271" s="831"/>
      <c r="D271" s="830"/>
      <c r="E271" s="830"/>
      <c r="F271" s="832"/>
    </row>
    <row r="272" spans="1:6" x14ac:dyDescent="0.2">
      <c r="A272" s="131">
        <v>1</v>
      </c>
      <c r="B272" s="9" t="s">
        <v>7</v>
      </c>
      <c r="C272" s="121"/>
      <c r="D272" s="820">
        <v>11900000</v>
      </c>
      <c r="E272" s="821"/>
      <c r="F272" s="822"/>
    </row>
    <row r="273" spans="1:6" x14ac:dyDescent="0.2">
      <c r="A273" s="131">
        <v>2</v>
      </c>
      <c r="B273" s="12" t="s">
        <v>221</v>
      </c>
      <c r="C273" s="121"/>
      <c r="D273" s="122">
        <v>1700000</v>
      </c>
      <c r="E273" s="122">
        <v>900000</v>
      </c>
      <c r="F273" s="123"/>
    </row>
    <row r="274" spans="1:6" x14ac:dyDescent="0.2">
      <c r="A274" s="131">
        <v>3</v>
      </c>
      <c r="B274" s="12" t="s">
        <v>226</v>
      </c>
      <c r="C274" s="121"/>
      <c r="D274" s="122">
        <v>90000</v>
      </c>
      <c r="E274" s="122">
        <v>90000</v>
      </c>
      <c r="F274" s="93"/>
    </row>
    <row r="275" spans="1:6" x14ac:dyDescent="0.2">
      <c r="A275" s="131">
        <v>4</v>
      </c>
      <c r="B275" s="12" t="s">
        <v>11</v>
      </c>
      <c r="C275" s="121"/>
      <c r="D275" s="122">
        <v>224720</v>
      </c>
      <c r="E275" s="132"/>
      <c r="F275" s="133" t="s">
        <v>211</v>
      </c>
    </row>
    <row r="276" spans="1:6" x14ac:dyDescent="0.2">
      <c r="A276" s="131">
        <v>5</v>
      </c>
      <c r="B276" s="12" t="s">
        <v>222</v>
      </c>
      <c r="C276" s="121"/>
      <c r="D276" s="122">
        <v>534130</v>
      </c>
      <c r="E276" s="132"/>
      <c r="F276" s="133" t="s">
        <v>211</v>
      </c>
    </row>
    <row r="277" spans="1:6" x14ac:dyDescent="0.2">
      <c r="A277" s="131">
        <v>6</v>
      </c>
      <c r="B277" s="12" t="s">
        <v>198</v>
      </c>
      <c r="C277" s="121"/>
      <c r="D277" s="122">
        <v>200000</v>
      </c>
      <c r="E277" s="122">
        <v>100000</v>
      </c>
      <c r="F277" s="134"/>
    </row>
    <row r="278" spans="1:6" x14ac:dyDescent="0.2">
      <c r="A278" s="131">
        <v>7</v>
      </c>
      <c r="B278" s="12" t="s">
        <v>199</v>
      </c>
      <c r="C278" s="121"/>
      <c r="D278" s="122">
        <v>462393.75</v>
      </c>
      <c r="E278" s="123"/>
      <c r="F278" s="123"/>
    </row>
    <row r="279" spans="1:6" x14ac:dyDescent="0.2">
      <c r="A279" s="131">
        <v>8</v>
      </c>
      <c r="B279" s="12" t="s">
        <v>227</v>
      </c>
      <c r="C279" s="121"/>
      <c r="D279" s="123"/>
      <c r="E279" s="122">
        <v>10600</v>
      </c>
      <c r="F279" s="123"/>
    </row>
    <row r="280" spans="1:6" x14ac:dyDescent="0.2">
      <c r="A280" s="131">
        <v>9</v>
      </c>
      <c r="B280" s="12" t="s">
        <v>228</v>
      </c>
      <c r="C280" s="121"/>
      <c r="D280" s="123"/>
      <c r="E280" s="122">
        <v>45000</v>
      </c>
      <c r="F280" s="123"/>
    </row>
    <row r="281" spans="1:6" x14ac:dyDescent="0.2">
      <c r="A281" s="131">
        <v>10</v>
      </c>
      <c r="B281" s="12" t="s">
        <v>200</v>
      </c>
      <c r="C281" s="121"/>
      <c r="D281" s="122">
        <v>390000</v>
      </c>
      <c r="E281" s="122">
        <v>260000</v>
      </c>
      <c r="F281" s="123"/>
    </row>
    <row r="282" spans="1:6" x14ac:dyDescent="0.2">
      <c r="A282" s="131">
        <v>11</v>
      </c>
      <c r="B282" s="12" t="s">
        <v>201</v>
      </c>
      <c r="C282" s="121"/>
      <c r="D282" s="122">
        <v>240000</v>
      </c>
      <c r="E282" s="122">
        <v>190800</v>
      </c>
      <c r="F282" s="123"/>
    </row>
    <row r="283" spans="1:6" x14ac:dyDescent="0.2">
      <c r="A283" s="131">
        <v>12</v>
      </c>
      <c r="B283" s="12" t="s">
        <v>213</v>
      </c>
      <c r="C283" s="121"/>
      <c r="D283" s="122">
        <v>125000</v>
      </c>
      <c r="E283" s="122">
        <v>61040</v>
      </c>
      <c r="F283" s="123"/>
    </row>
    <row r="284" spans="1:6" x14ac:dyDescent="0.2">
      <c r="A284" s="131">
        <v>13</v>
      </c>
      <c r="B284" s="12" t="s">
        <v>202</v>
      </c>
      <c r="C284" s="121"/>
      <c r="D284" s="122">
        <v>95000</v>
      </c>
      <c r="E284" s="122">
        <v>69200</v>
      </c>
      <c r="F284" s="123"/>
    </row>
    <row r="285" spans="1:6" ht="31.5" x14ac:dyDescent="0.2">
      <c r="A285" s="131">
        <v>14</v>
      </c>
      <c r="B285" s="12" t="s">
        <v>214</v>
      </c>
      <c r="C285" s="121"/>
      <c r="D285" s="122">
        <v>100000</v>
      </c>
      <c r="E285" s="122">
        <v>111700</v>
      </c>
      <c r="F285" s="123"/>
    </row>
    <row r="286" spans="1:6" x14ac:dyDescent="0.2">
      <c r="A286" s="131">
        <v>15</v>
      </c>
      <c r="B286" s="12" t="s">
        <v>203</v>
      </c>
      <c r="C286" s="121"/>
      <c r="D286" s="122">
        <v>184957.5</v>
      </c>
      <c r="E286" s="123"/>
      <c r="F286" s="123"/>
    </row>
    <row r="287" spans="1:6" x14ac:dyDescent="0.2">
      <c r="A287" s="131">
        <v>16</v>
      </c>
      <c r="B287" s="12" t="s">
        <v>215</v>
      </c>
      <c r="C287" s="121"/>
      <c r="D287" s="122">
        <v>80000</v>
      </c>
      <c r="E287" s="122">
        <v>64200</v>
      </c>
      <c r="F287" s="123"/>
    </row>
    <row r="288" spans="1:6" x14ac:dyDescent="0.2">
      <c r="A288" s="131">
        <v>17</v>
      </c>
      <c r="B288" s="12" t="s">
        <v>216</v>
      </c>
      <c r="C288" s="121"/>
      <c r="D288" s="122">
        <v>70000</v>
      </c>
      <c r="E288" s="122">
        <v>52000</v>
      </c>
      <c r="F288" s="123"/>
    </row>
    <row r="289" spans="1:6" ht="31.5" x14ac:dyDescent="0.2">
      <c r="A289" s="131">
        <v>18</v>
      </c>
      <c r="B289" s="12" t="s">
        <v>229</v>
      </c>
      <c r="C289" s="121"/>
      <c r="D289" s="122">
        <v>150000</v>
      </c>
      <c r="E289" s="122">
        <v>25400</v>
      </c>
      <c r="F289" s="123"/>
    </row>
    <row r="290" spans="1:6" x14ac:dyDescent="0.2">
      <c r="A290" s="131">
        <v>19</v>
      </c>
      <c r="B290" s="12" t="s">
        <v>217</v>
      </c>
      <c r="C290" s="121"/>
      <c r="D290" s="122">
        <v>120000</v>
      </c>
      <c r="E290" s="122">
        <v>42400</v>
      </c>
      <c r="F290" s="123"/>
    </row>
    <row r="291" spans="1:6" x14ac:dyDescent="0.2">
      <c r="A291" s="131">
        <v>20</v>
      </c>
      <c r="B291" s="12" t="s">
        <v>218</v>
      </c>
      <c r="C291" s="121"/>
      <c r="D291" s="122">
        <v>70000</v>
      </c>
      <c r="E291" s="122">
        <v>40000</v>
      </c>
      <c r="F291" s="123"/>
    </row>
    <row r="292" spans="1:6" x14ac:dyDescent="0.2">
      <c r="A292" s="131">
        <v>21</v>
      </c>
      <c r="B292" s="12" t="s">
        <v>154</v>
      </c>
      <c r="C292" s="121"/>
      <c r="D292" s="122">
        <v>40000</v>
      </c>
      <c r="E292" s="123"/>
      <c r="F292" s="123"/>
    </row>
    <row r="293" spans="1:6" x14ac:dyDescent="0.2">
      <c r="A293" s="131">
        <v>22</v>
      </c>
      <c r="B293" s="12" t="s">
        <v>205</v>
      </c>
      <c r="C293" s="121"/>
      <c r="D293" s="122">
        <v>150000</v>
      </c>
      <c r="E293" s="122">
        <v>159600</v>
      </c>
      <c r="F293" s="123"/>
    </row>
    <row r="294" spans="1:6" ht="31.5" x14ac:dyDescent="0.2">
      <c r="A294" s="131">
        <v>23</v>
      </c>
      <c r="B294" s="12" t="s">
        <v>219</v>
      </c>
      <c r="C294" s="121"/>
      <c r="D294" s="122">
        <v>110000</v>
      </c>
      <c r="E294" s="123"/>
      <c r="F294" s="93"/>
    </row>
    <row r="295" spans="1:6" x14ac:dyDescent="0.2">
      <c r="A295" s="131">
        <v>24</v>
      </c>
      <c r="B295" s="12" t="s">
        <v>100</v>
      </c>
      <c r="C295" s="121"/>
      <c r="D295" s="122">
        <v>300000</v>
      </c>
      <c r="E295" s="132"/>
      <c r="F295" s="133" t="s">
        <v>211</v>
      </c>
    </row>
    <row r="296" spans="1:6" x14ac:dyDescent="0.2">
      <c r="A296" s="131">
        <v>25</v>
      </c>
      <c r="B296" s="12" t="s">
        <v>132</v>
      </c>
      <c r="C296" s="121"/>
      <c r="D296" s="122">
        <v>300000</v>
      </c>
      <c r="E296" s="123"/>
      <c r="F296" s="134"/>
    </row>
    <row r="297" spans="1:6" x14ac:dyDescent="0.2">
      <c r="A297" s="129"/>
      <c r="B297" s="53" t="s">
        <v>22</v>
      </c>
      <c r="C297" s="121"/>
      <c r="D297" s="130">
        <v>5736201.25</v>
      </c>
      <c r="E297" s="130">
        <v>2221940</v>
      </c>
      <c r="F297" s="123"/>
    </row>
    <row r="298" spans="1:6" x14ac:dyDescent="0.2">
      <c r="A298" s="129"/>
      <c r="B298" s="57" t="s">
        <v>23</v>
      </c>
      <c r="C298" s="121"/>
      <c r="D298" s="123"/>
      <c r="E298" s="125">
        <v>9678060</v>
      </c>
      <c r="F298" s="123"/>
    </row>
    <row r="299" spans="1:6" x14ac:dyDescent="0.2">
      <c r="A299" s="825"/>
      <c r="B299" s="826"/>
      <c r="C299" s="827"/>
      <c r="D299" s="826"/>
      <c r="E299" s="826"/>
      <c r="F299" s="828"/>
    </row>
    <row r="300" spans="1:6" ht="29.25" customHeight="1" x14ac:dyDescent="0.2">
      <c r="A300" s="829" t="s">
        <v>230</v>
      </c>
      <c r="B300" s="830"/>
      <c r="C300" s="831"/>
      <c r="D300" s="830"/>
      <c r="E300" s="830"/>
      <c r="F300" s="832"/>
    </row>
    <row r="301" spans="1:6" x14ac:dyDescent="0.2">
      <c r="A301" s="131">
        <v>1</v>
      </c>
      <c r="B301" s="9" t="s">
        <v>7</v>
      </c>
      <c r="C301" s="121"/>
      <c r="D301" s="820">
        <v>13900000</v>
      </c>
      <c r="E301" s="821"/>
      <c r="F301" s="822"/>
    </row>
    <row r="302" spans="1:6" x14ac:dyDescent="0.2">
      <c r="A302" s="131">
        <v>2</v>
      </c>
      <c r="B302" s="12" t="s">
        <v>221</v>
      </c>
      <c r="C302" s="121"/>
      <c r="D302" s="122">
        <v>2300000</v>
      </c>
      <c r="E302" s="122">
        <v>1800000</v>
      </c>
      <c r="F302" s="123"/>
    </row>
    <row r="303" spans="1:6" x14ac:dyDescent="0.2">
      <c r="A303" s="131">
        <v>3</v>
      </c>
      <c r="B303" s="12" t="s">
        <v>226</v>
      </c>
      <c r="C303" s="121"/>
      <c r="D303" s="122">
        <v>122914.4</v>
      </c>
      <c r="E303" s="122">
        <v>122914.4</v>
      </c>
      <c r="F303" s="123"/>
    </row>
    <row r="304" spans="1:6" x14ac:dyDescent="0.2">
      <c r="A304" s="131">
        <v>4</v>
      </c>
      <c r="B304" s="12" t="s">
        <v>231</v>
      </c>
      <c r="C304" s="121"/>
      <c r="D304" s="122">
        <v>40000</v>
      </c>
      <c r="E304" s="122">
        <v>40000</v>
      </c>
      <c r="F304" s="93"/>
    </row>
    <row r="305" spans="1:6" x14ac:dyDescent="0.2">
      <c r="A305" s="131">
        <v>5</v>
      </c>
      <c r="B305" s="12" t="s">
        <v>11</v>
      </c>
      <c r="C305" s="121"/>
      <c r="D305" s="122">
        <v>228231.25</v>
      </c>
      <c r="E305" s="132"/>
      <c r="F305" s="133" t="s">
        <v>211</v>
      </c>
    </row>
    <row r="306" spans="1:6" x14ac:dyDescent="0.2">
      <c r="A306" s="131">
        <v>6</v>
      </c>
      <c r="B306" s="12" t="s">
        <v>222</v>
      </c>
      <c r="C306" s="121"/>
      <c r="D306" s="122">
        <v>603050</v>
      </c>
      <c r="E306" s="132"/>
      <c r="F306" s="133" t="s">
        <v>211</v>
      </c>
    </row>
    <row r="307" spans="1:6" x14ac:dyDescent="0.2">
      <c r="A307" s="131">
        <v>7</v>
      </c>
      <c r="B307" s="12" t="s">
        <v>198</v>
      </c>
      <c r="C307" s="121"/>
      <c r="D307" s="122">
        <v>450000</v>
      </c>
      <c r="E307" s="123"/>
      <c r="F307" s="134"/>
    </row>
    <row r="308" spans="1:6" x14ac:dyDescent="0.2">
      <c r="A308" s="131">
        <v>8</v>
      </c>
      <c r="B308" s="12" t="s">
        <v>199</v>
      </c>
      <c r="C308" s="121"/>
      <c r="D308" s="122">
        <v>457990</v>
      </c>
      <c r="E308" s="123"/>
      <c r="F308" s="123"/>
    </row>
    <row r="309" spans="1:6" x14ac:dyDescent="0.2">
      <c r="A309" s="131">
        <v>9</v>
      </c>
      <c r="B309" s="12" t="s">
        <v>200</v>
      </c>
      <c r="C309" s="121"/>
      <c r="D309" s="122">
        <v>540000</v>
      </c>
      <c r="E309" s="122">
        <v>200000</v>
      </c>
      <c r="F309" s="123"/>
    </row>
    <row r="310" spans="1:6" x14ac:dyDescent="0.2">
      <c r="A310" s="131">
        <v>10</v>
      </c>
      <c r="B310" s="12" t="s">
        <v>201</v>
      </c>
      <c r="C310" s="121"/>
      <c r="D310" s="122">
        <v>280000</v>
      </c>
      <c r="E310" s="122">
        <v>31920</v>
      </c>
      <c r="F310" s="123"/>
    </row>
    <row r="311" spans="1:6" x14ac:dyDescent="0.2">
      <c r="A311" s="131">
        <v>11</v>
      </c>
      <c r="B311" s="12" t="s">
        <v>213</v>
      </c>
      <c r="C311" s="121"/>
      <c r="D311" s="122">
        <v>225000</v>
      </c>
      <c r="E311" s="122">
        <v>15960</v>
      </c>
      <c r="F311" s="123"/>
    </row>
    <row r="312" spans="1:6" x14ac:dyDescent="0.2">
      <c r="A312" s="131">
        <v>12</v>
      </c>
      <c r="B312" s="12" t="s">
        <v>202</v>
      </c>
      <c r="C312" s="121"/>
      <c r="D312" s="122">
        <v>275000</v>
      </c>
      <c r="E312" s="123"/>
      <c r="F312" s="123"/>
    </row>
    <row r="313" spans="1:6" ht="31.5" x14ac:dyDescent="0.2">
      <c r="A313" s="131">
        <v>13</v>
      </c>
      <c r="B313" s="12" t="s">
        <v>214</v>
      </c>
      <c r="C313" s="121"/>
      <c r="D313" s="122">
        <v>40000</v>
      </c>
      <c r="E313" s="123"/>
      <c r="F313" s="123"/>
    </row>
    <row r="314" spans="1:6" x14ac:dyDescent="0.2">
      <c r="A314" s="131">
        <v>14</v>
      </c>
      <c r="B314" s="12" t="s">
        <v>203</v>
      </c>
      <c r="C314" s="121"/>
      <c r="D314" s="122">
        <v>237802.5</v>
      </c>
      <c r="E314" s="123"/>
      <c r="F314" s="123"/>
    </row>
    <row r="315" spans="1:6" ht="31.5" x14ac:dyDescent="0.2">
      <c r="A315" s="131">
        <v>15</v>
      </c>
      <c r="B315" s="12" t="s">
        <v>229</v>
      </c>
      <c r="C315" s="121"/>
      <c r="D315" s="122">
        <v>160000</v>
      </c>
      <c r="E315" s="122">
        <v>26600</v>
      </c>
      <c r="F315" s="123"/>
    </row>
    <row r="316" spans="1:6" x14ac:dyDescent="0.2">
      <c r="A316" s="131">
        <v>16</v>
      </c>
      <c r="B316" s="12" t="s">
        <v>217</v>
      </c>
      <c r="C316" s="121"/>
      <c r="D316" s="122">
        <v>120000</v>
      </c>
      <c r="E316" s="122">
        <v>41000</v>
      </c>
      <c r="F316" s="123"/>
    </row>
    <row r="317" spans="1:6" x14ac:dyDescent="0.2">
      <c r="A317" s="131">
        <v>17</v>
      </c>
      <c r="B317" s="12" t="s">
        <v>218</v>
      </c>
      <c r="C317" s="121"/>
      <c r="D317" s="122">
        <v>30000</v>
      </c>
      <c r="E317" s="123"/>
      <c r="F317" s="123"/>
    </row>
    <row r="318" spans="1:6" x14ac:dyDescent="0.2">
      <c r="A318" s="131">
        <v>18</v>
      </c>
      <c r="B318" s="12" t="s">
        <v>154</v>
      </c>
      <c r="C318" s="121"/>
      <c r="D318" s="122">
        <v>80000</v>
      </c>
      <c r="E318" s="123"/>
      <c r="F318" s="123"/>
    </row>
    <row r="319" spans="1:6" x14ac:dyDescent="0.2">
      <c r="A319" s="131">
        <v>19</v>
      </c>
      <c r="B319" s="12" t="s">
        <v>205</v>
      </c>
      <c r="C319" s="121"/>
      <c r="D319" s="122">
        <v>200000</v>
      </c>
      <c r="E319" s="122">
        <v>100000</v>
      </c>
      <c r="F319" s="123"/>
    </row>
    <row r="320" spans="1:6" ht="31.5" x14ac:dyDescent="0.2">
      <c r="A320" s="131">
        <v>20</v>
      </c>
      <c r="B320" s="12" t="s">
        <v>219</v>
      </c>
      <c r="C320" s="121"/>
      <c r="D320" s="122">
        <v>70000</v>
      </c>
      <c r="E320" s="123"/>
      <c r="F320" s="93"/>
    </row>
    <row r="321" spans="1:6" x14ac:dyDescent="0.2">
      <c r="A321" s="131">
        <v>21</v>
      </c>
      <c r="B321" s="12" t="s">
        <v>100</v>
      </c>
      <c r="C321" s="121"/>
      <c r="D321" s="122">
        <v>300000</v>
      </c>
      <c r="E321" s="132"/>
      <c r="F321" s="133" t="s">
        <v>211</v>
      </c>
    </row>
    <row r="322" spans="1:6" x14ac:dyDescent="0.2">
      <c r="A322" s="131">
        <v>22</v>
      </c>
      <c r="B322" s="12" t="s">
        <v>132</v>
      </c>
      <c r="C322" s="121"/>
      <c r="D322" s="122">
        <v>500000</v>
      </c>
      <c r="E322" s="123"/>
      <c r="F322" s="134"/>
    </row>
    <row r="323" spans="1:6" x14ac:dyDescent="0.2">
      <c r="A323" s="129"/>
      <c r="B323" s="53" t="s">
        <v>22</v>
      </c>
      <c r="C323" s="121"/>
      <c r="D323" s="130">
        <v>7259988.1500000004</v>
      </c>
      <c r="E323" s="130">
        <v>2378394.4</v>
      </c>
      <c r="F323" s="123"/>
    </row>
    <row r="324" spans="1:6" x14ac:dyDescent="0.2">
      <c r="A324" s="90"/>
      <c r="B324" s="91" t="s">
        <v>23</v>
      </c>
      <c r="C324" s="92"/>
      <c r="D324" s="93"/>
      <c r="E324" s="94">
        <v>11521605.6</v>
      </c>
      <c r="F324" s="93"/>
    </row>
    <row r="325" spans="1:6" x14ac:dyDescent="0.2">
      <c r="A325" s="135"/>
      <c r="B325" s="136"/>
      <c r="C325" s="136"/>
      <c r="D325" s="136"/>
      <c r="E325" s="136"/>
      <c r="F325" s="137"/>
    </row>
    <row r="326" spans="1:6" ht="33" customHeight="1" x14ac:dyDescent="0.2">
      <c r="A326" s="833" t="s">
        <v>232</v>
      </c>
      <c r="B326" s="834"/>
      <c r="C326" s="835"/>
      <c r="D326" s="834"/>
      <c r="E326" s="834"/>
      <c r="F326" s="836"/>
    </row>
    <row r="327" spans="1:6" x14ac:dyDescent="0.2">
      <c r="A327" s="138">
        <v>1</v>
      </c>
      <c r="B327" s="83" t="s">
        <v>7</v>
      </c>
      <c r="C327" s="139"/>
      <c r="D327" s="837">
        <v>599057.99</v>
      </c>
      <c r="E327" s="837"/>
      <c r="F327" s="837"/>
    </row>
    <row r="328" spans="1:6" x14ac:dyDescent="0.2">
      <c r="A328" s="140">
        <v>2</v>
      </c>
      <c r="B328" s="141" t="s">
        <v>221</v>
      </c>
      <c r="C328" s="142"/>
      <c r="D328" s="133">
        <v>130000</v>
      </c>
      <c r="E328" s="105"/>
      <c r="F328" s="133" t="s">
        <v>233</v>
      </c>
    </row>
    <row r="329" spans="1:6" x14ac:dyDescent="0.2">
      <c r="A329" s="143">
        <v>3</v>
      </c>
      <c r="B329" s="144" t="s">
        <v>70</v>
      </c>
      <c r="C329" s="145">
        <v>0.1</v>
      </c>
      <c r="D329" s="133">
        <v>18762.32</v>
      </c>
      <c r="E329" s="105"/>
      <c r="F329" s="133" t="s">
        <v>211</v>
      </c>
    </row>
    <row r="330" spans="1:6" x14ac:dyDescent="0.2">
      <c r="A330" s="143">
        <v>4</v>
      </c>
      <c r="B330" s="144" t="s">
        <v>11</v>
      </c>
      <c r="C330" s="145">
        <v>0.04</v>
      </c>
      <c r="D330" s="133">
        <v>7504.93</v>
      </c>
      <c r="E330" s="105"/>
      <c r="F330" s="133" t="s">
        <v>211</v>
      </c>
    </row>
    <row r="331" spans="1:6" x14ac:dyDescent="0.2">
      <c r="A331" s="143">
        <v>5</v>
      </c>
      <c r="B331" s="144" t="s">
        <v>234</v>
      </c>
      <c r="C331" s="145">
        <v>0.2</v>
      </c>
      <c r="D331" s="146">
        <v>37524.639999999999</v>
      </c>
      <c r="E331" s="147">
        <v>37235</v>
      </c>
      <c r="F331" s="133" t="s">
        <v>235</v>
      </c>
    </row>
    <row r="332" spans="1:6" x14ac:dyDescent="0.2">
      <c r="A332" s="143">
        <v>6</v>
      </c>
      <c r="B332" s="144" t="s">
        <v>236</v>
      </c>
      <c r="C332" s="145">
        <v>0.09</v>
      </c>
      <c r="D332" s="133">
        <v>16886.09</v>
      </c>
      <c r="E332" s="105"/>
      <c r="F332" s="117"/>
    </row>
    <row r="333" spans="1:6" x14ac:dyDescent="0.2">
      <c r="A333" s="143">
        <v>7</v>
      </c>
      <c r="B333" s="144" t="s">
        <v>237</v>
      </c>
      <c r="C333" s="145">
        <v>0.12</v>
      </c>
      <c r="D333" s="133">
        <v>22514.78</v>
      </c>
      <c r="E333" s="148">
        <v>26500</v>
      </c>
      <c r="F333" s="133" t="s">
        <v>238</v>
      </c>
    </row>
    <row r="334" spans="1:6" x14ac:dyDescent="0.2">
      <c r="A334" s="143">
        <v>8</v>
      </c>
      <c r="B334" s="144" t="s">
        <v>239</v>
      </c>
      <c r="C334" s="145">
        <v>0.2</v>
      </c>
      <c r="D334" s="133">
        <v>37524.639999999999</v>
      </c>
      <c r="E334" s="148">
        <v>32000</v>
      </c>
      <c r="F334" s="133" t="s">
        <v>240</v>
      </c>
    </row>
    <row r="335" spans="1:6" x14ac:dyDescent="0.2">
      <c r="A335" s="143">
        <v>9</v>
      </c>
      <c r="B335" s="144" t="s">
        <v>174</v>
      </c>
      <c r="C335" s="145">
        <v>0.15</v>
      </c>
      <c r="D335" s="133">
        <v>28143.48</v>
      </c>
      <c r="E335" s="105"/>
      <c r="F335" s="133" t="s">
        <v>211</v>
      </c>
    </row>
    <row r="336" spans="1:6" x14ac:dyDescent="0.2">
      <c r="A336" s="140">
        <v>10</v>
      </c>
      <c r="B336" s="141" t="s">
        <v>100</v>
      </c>
      <c r="C336" s="149">
        <v>3.5000000000000003E-2</v>
      </c>
      <c r="D336" s="133">
        <v>6566.81</v>
      </c>
      <c r="E336" s="105"/>
      <c r="F336" s="133" t="s">
        <v>211</v>
      </c>
    </row>
    <row r="337" spans="1:6" x14ac:dyDescent="0.2">
      <c r="A337" s="140">
        <v>11</v>
      </c>
      <c r="B337" s="150" t="s">
        <v>132</v>
      </c>
      <c r="C337" s="149">
        <v>6.5000000000000002E-2</v>
      </c>
      <c r="D337" s="133">
        <v>12195.51</v>
      </c>
      <c r="E337" s="105"/>
      <c r="F337" s="117"/>
    </row>
    <row r="338" spans="1:6" x14ac:dyDescent="0.2">
      <c r="A338" s="140"/>
      <c r="B338" s="26" t="s">
        <v>22</v>
      </c>
      <c r="C338" s="142"/>
      <c r="D338" s="133">
        <f>SUM(D328:D337)</f>
        <v>317623.2</v>
      </c>
      <c r="E338" s="105"/>
      <c r="F338" s="117"/>
    </row>
    <row r="339" spans="1:6" x14ac:dyDescent="0.2">
      <c r="A339" s="151"/>
      <c r="B339" s="32" t="s">
        <v>23</v>
      </c>
      <c r="C339" s="142"/>
      <c r="D339" s="133"/>
      <c r="E339" s="105"/>
      <c r="F339" s="117"/>
    </row>
    <row r="340" spans="1:6" x14ac:dyDescent="0.2">
      <c r="A340" s="838"/>
      <c r="B340" s="839"/>
      <c r="C340" s="840"/>
      <c r="D340" s="839"/>
      <c r="E340" s="839"/>
      <c r="F340" s="841"/>
    </row>
    <row r="341" spans="1:6" ht="30.75" customHeight="1" x14ac:dyDescent="0.2">
      <c r="A341" s="833" t="s">
        <v>241</v>
      </c>
      <c r="B341" s="842"/>
      <c r="C341" s="843"/>
      <c r="D341" s="842"/>
      <c r="E341" s="842"/>
      <c r="F341" s="844"/>
    </row>
    <row r="342" spans="1:6" ht="20.25" customHeight="1" x14ac:dyDescent="0.2">
      <c r="A342" s="8">
        <v>1</v>
      </c>
      <c r="B342" s="9" t="s">
        <v>7</v>
      </c>
      <c r="C342" s="152"/>
      <c r="D342" s="820">
        <v>477634.87</v>
      </c>
      <c r="E342" s="823"/>
      <c r="F342" s="824"/>
    </row>
    <row r="343" spans="1:6" x14ac:dyDescent="0.2">
      <c r="A343" s="8">
        <v>2</v>
      </c>
      <c r="B343" s="12" t="s">
        <v>221</v>
      </c>
      <c r="C343" s="152"/>
      <c r="D343" s="153">
        <v>100000</v>
      </c>
      <c r="E343" s="148">
        <v>75000</v>
      </c>
      <c r="F343" s="133" t="s">
        <v>233</v>
      </c>
    </row>
    <row r="344" spans="1:6" x14ac:dyDescent="0.2">
      <c r="A344" s="8">
        <v>3</v>
      </c>
      <c r="B344" s="12" t="s">
        <v>11</v>
      </c>
      <c r="C344" s="152">
        <v>0.04</v>
      </c>
      <c r="D344" s="153">
        <f>(D342-D343)*0.4*C344</f>
        <v>6042.1579200000006</v>
      </c>
      <c r="E344" s="117"/>
      <c r="F344" s="133" t="s">
        <v>211</v>
      </c>
    </row>
    <row r="345" spans="1:6" x14ac:dyDescent="0.2">
      <c r="A345" s="8">
        <v>4</v>
      </c>
      <c r="B345" s="12" t="s">
        <v>118</v>
      </c>
      <c r="C345" s="152">
        <v>0.1</v>
      </c>
      <c r="D345" s="153">
        <f>(D342-D343)*0.4*C345</f>
        <v>15105.394800000002</v>
      </c>
      <c r="E345" s="117"/>
      <c r="F345" s="133" t="s">
        <v>211</v>
      </c>
    </row>
    <row r="346" spans="1:6" x14ac:dyDescent="0.2">
      <c r="A346" s="8">
        <v>5</v>
      </c>
      <c r="B346" s="12" t="s">
        <v>242</v>
      </c>
      <c r="C346" s="152">
        <v>0.2</v>
      </c>
      <c r="D346" s="122">
        <f>(D342-D343)*0.4*C346</f>
        <v>30210.789600000004</v>
      </c>
      <c r="E346" s="148">
        <v>26596</v>
      </c>
      <c r="F346" s="133" t="s">
        <v>235</v>
      </c>
    </row>
    <row r="347" spans="1:6" x14ac:dyDescent="0.2">
      <c r="A347" s="8">
        <v>6</v>
      </c>
      <c r="B347" s="12" t="s">
        <v>243</v>
      </c>
      <c r="C347" s="152">
        <v>0.09</v>
      </c>
      <c r="D347" s="122">
        <f>(D342-D343)*0.4*C347</f>
        <v>13594.855320000001</v>
      </c>
      <c r="E347" s="154"/>
      <c r="F347" s="154"/>
    </row>
    <row r="348" spans="1:6" x14ac:dyDescent="0.2">
      <c r="A348" s="8">
        <v>8</v>
      </c>
      <c r="B348" s="12" t="s">
        <v>244</v>
      </c>
      <c r="C348" s="152">
        <v>0.2</v>
      </c>
      <c r="D348" s="153">
        <f>(D342-D343)*0.4*C348</f>
        <v>30210.789600000004</v>
      </c>
      <c r="E348" s="155">
        <v>32000</v>
      </c>
      <c r="F348" s="156" t="s">
        <v>240</v>
      </c>
    </row>
    <row r="349" spans="1:6" x14ac:dyDescent="0.2">
      <c r="A349" s="8">
        <v>9</v>
      </c>
      <c r="B349" s="12" t="s">
        <v>237</v>
      </c>
      <c r="C349" s="152">
        <v>0.13500000000000001</v>
      </c>
      <c r="D349" s="153">
        <f>(D342-D343)*0.4*C349</f>
        <v>20392.282980000004</v>
      </c>
      <c r="E349" s="148">
        <v>21200</v>
      </c>
      <c r="F349" s="133" t="s">
        <v>238</v>
      </c>
    </row>
    <row r="350" spans="1:6" x14ac:dyDescent="0.2">
      <c r="A350" s="8">
        <v>10</v>
      </c>
      <c r="B350" s="12" t="s">
        <v>205</v>
      </c>
      <c r="C350" s="152">
        <v>0.13</v>
      </c>
      <c r="D350" s="153">
        <f>(D342-D343)*0.4*C350</f>
        <v>19637.01324</v>
      </c>
      <c r="E350" s="148"/>
      <c r="F350" s="133" t="s">
        <v>211</v>
      </c>
    </row>
    <row r="351" spans="1:6" x14ac:dyDescent="0.2">
      <c r="A351" s="8">
        <v>12</v>
      </c>
      <c r="B351" s="12" t="s">
        <v>100</v>
      </c>
      <c r="C351" s="152">
        <v>3.5000000000000003E-2</v>
      </c>
      <c r="D351" s="153">
        <f>(D342-D343)*0.4*C351</f>
        <v>5286.8881800000008</v>
      </c>
      <c r="E351" s="117"/>
      <c r="F351" s="133" t="s">
        <v>211</v>
      </c>
    </row>
    <row r="352" spans="1:6" x14ac:dyDescent="0.2">
      <c r="A352" s="8">
        <v>13</v>
      </c>
      <c r="B352" s="12" t="s">
        <v>132</v>
      </c>
      <c r="C352" s="152">
        <f>100%-(C344+C345+C346+C347+C348+C349+C350+C351)</f>
        <v>6.999999999999984E-2</v>
      </c>
      <c r="D352" s="153">
        <f>(D342-D343)*0.4*C352</f>
        <v>10573.776359999976</v>
      </c>
      <c r="E352" s="117"/>
      <c r="F352" s="117"/>
    </row>
    <row r="353" spans="1:6" x14ac:dyDescent="0.2">
      <c r="A353" s="8"/>
      <c r="B353" s="53" t="s">
        <v>22</v>
      </c>
      <c r="C353" s="121"/>
      <c r="D353" s="130">
        <f>SUM(D343:D352)</f>
        <v>251053.948</v>
      </c>
      <c r="E353" s="157">
        <f>SUM(E343:E352)</f>
        <v>154796</v>
      </c>
      <c r="F353" s="134"/>
    </row>
    <row r="354" spans="1:6" x14ac:dyDescent="0.2">
      <c r="A354" s="8"/>
      <c r="B354" s="57" t="s">
        <v>23</v>
      </c>
      <c r="C354" s="121"/>
      <c r="D354" s="158"/>
      <c r="E354" s="125">
        <f>D342-E353</f>
        <v>322838.87</v>
      </c>
      <c r="F354" s="123"/>
    </row>
    <row r="355" spans="1:6" x14ac:dyDescent="0.2">
      <c r="A355" s="825"/>
      <c r="B355" s="826"/>
      <c r="C355" s="827"/>
      <c r="D355" s="826"/>
      <c r="E355" s="826"/>
      <c r="F355" s="828"/>
    </row>
    <row r="356" spans="1:6" ht="31.5" customHeight="1" x14ac:dyDescent="0.2">
      <c r="A356" s="829" t="s">
        <v>245</v>
      </c>
      <c r="B356" s="830"/>
      <c r="C356" s="831"/>
      <c r="D356" s="830"/>
      <c r="E356" s="830"/>
      <c r="F356" s="832"/>
    </row>
    <row r="357" spans="1:6" x14ac:dyDescent="0.2">
      <c r="A357" s="8">
        <v>1</v>
      </c>
      <c r="B357" s="9" t="s">
        <v>7</v>
      </c>
      <c r="C357" s="159" t="s">
        <v>246</v>
      </c>
      <c r="D357" s="820">
        <v>523250.88</v>
      </c>
      <c r="E357" s="821"/>
      <c r="F357" s="822"/>
    </row>
    <row r="358" spans="1:6" x14ac:dyDescent="0.2">
      <c r="A358" s="8">
        <v>2</v>
      </c>
      <c r="B358" s="12" t="s">
        <v>221</v>
      </c>
      <c r="C358" s="152"/>
      <c r="D358" s="122">
        <v>100000</v>
      </c>
      <c r="E358" s="128">
        <v>90000</v>
      </c>
      <c r="F358" s="160" t="s">
        <v>233</v>
      </c>
    </row>
    <row r="359" spans="1:6" x14ac:dyDescent="0.2">
      <c r="A359" s="8">
        <v>3</v>
      </c>
      <c r="B359" s="12" t="s">
        <v>11</v>
      </c>
      <c r="C359" s="152">
        <v>0.04</v>
      </c>
      <c r="D359" s="153">
        <f>(D357-D358)*0.4*C359</f>
        <v>6772.0140800000008</v>
      </c>
      <c r="E359" s="117"/>
      <c r="F359" s="133" t="s">
        <v>211</v>
      </c>
    </row>
    <row r="360" spans="1:6" x14ac:dyDescent="0.2">
      <c r="A360" s="161">
        <v>4</v>
      </c>
      <c r="B360" s="17" t="s">
        <v>118</v>
      </c>
      <c r="C360" s="162">
        <v>0.1</v>
      </c>
      <c r="D360" s="163">
        <f>(D357-D358)*0.4*C360</f>
        <v>16930.035200000002</v>
      </c>
      <c r="E360" s="117"/>
      <c r="F360" s="133" t="s">
        <v>211</v>
      </c>
    </row>
    <row r="361" spans="1:6" x14ac:dyDescent="0.2">
      <c r="A361" s="95">
        <v>5</v>
      </c>
      <c r="B361" s="21" t="s">
        <v>242</v>
      </c>
      <c r="C361" s="145">
        <v>0.2</v>
      </c>
      <c r="D361" s="148">
        <f>(D357-D358)*0.4*C361</f>
        <v>33860.070400000004</v>
      </c>
      <c r="E361" s="164">
        <v>37235</v>
      </c>
      <c r="F361" s="133" t="s">
        <v>235</v>
      </c>
    </row>
    <row r="362" spans="1:6" x14ac:dyDescent="0.2">
      <c r="A362" s="95">
        <v>6</v>
      </c>
      <c r="B362" s="21" t="s">
        <v>243</v>
      </c>
      <c r="C362" s="145">
        <v>0.09</v>
      </c>
      <c r="D362" s="148">
        <f>(D357-D358)*0.4*C362</f>
        <v>15237.03168</v>
      </c>
      <c r="E362" s="117"/>
      <c r="F362" s="133"/>
    </row>
    <row r="363" spans="1:6" x14ac:dyDescent="0.2">
      <c r="A363" s="95">
        <v>8</v>
      </c>
      <c r="B363" s="21" t="s">
        <v>244</v>
      </c>
      <c r="C363" s="145">
        <v>0.2</v>
      </c>
      <c r="D363" s="148">
        <f>(D357-D358)*0.4*C363</f>
        <v>33860.070400000004</v>
      </c>
      <c r="E363" s="155">
        <v>32000</v>
      </c>
      <c r="F363" s="156" t="s">
        <v>240</v>
      </c>
    </row>
    <row r="364" spans="1:6" x14ac:dyDescent="0.2">
      <c r="A364" s="95">
        <v>9</v>
      </c>
      <c r="B364" s="21" t="s">
        <v>237</v>
      </c>
      <c r="C364" s="145">
        <v>0.12</v>
      </c>
      <c r="D364" s="148">
        <f>(D357-D358)*0.4*C364</f>
        <v>20316.042240000002</v>
      </c>
      <c r="E364" s="164">
        <v>21200</v>
      </c>
      <c r="F364" s="133" t="s">
        <v>238</v>
      </c>
    </row>
    <row r="365" spans="1:6" x14ac:dyDescent="0.2">
      <c r="A365" s="95">
        <v>10</v>
      </c>
      <c r="B365" s="21" t="s">
        <v>205</v>
      </c>
      <c r="C365" s="145">
        <v>0.15</v>
      </c>
      <c r="D365" s="148">
        <f>(D357-D358)*0.4*C365</f>
        <v>25395.052800000001</v>
      </c>
      <c r="E365" s="148"/>
      <c r="F365" s="133" t="s">
        <v>211</v>
      </c>
    </row>
    <row r="366" spans="1:6" x14ac:dyDescent="0.2">
      <c r="A366" s="95">
        <v>12</v>
      </c>
      <c r="B366" s="21" t="s">
        <v>100</v>
      </c>
      <c r="C366" s="145">
        <v>3.5000000000000003E-2</v>
      </c>
      <c r="D366" s="148">
        <f>(D357-D358)*0.4*C366</f>
        <v>5925.5123200000007</v>
      </c>
      <c r="E366" s="117"/>
      <c r="F366" s="133" t="s">
        <v>211</v>
      </c>
    </row>
    <row r="367" spans="1:6" x14ac:dyDescent="0.2">
      <c r="A367" s="95">
        <v>13</v>
      </c>
      <c r="B367" s="21" t="s">
        <v>132</v>
      </c>
      <c r="C367" s="145">
        <f>100%-(C359+C360+C361+C362+C363+C364+C365+C366)</f>
        <v>6.4999999999999836E-2</v>
      </c>
      <c r="D367" s="148">
        <f>(D357-D358)*0.4*C367</f>
        <v>11004.522879999973</v>
      </c>
      <c r="E367" s="117"/>
      <c r="F367" s="165"/>
    </row>
    <row r="368" spans="1:6" x14ac:dyDescent="0.2">
      <c r="A368" s="95"/>
      <c r="B368" s="26" t="s">
        <v>22</v>
      </c>
      <c r="C368" s="166"/>
      <c r="D368" s="167">
        <f>SUM(D358:D367)</f>
        <v>269300.35200000001</v>
      </c>
      <c r="E368" s="167">
        <f>SUM(E358:E367)</f>
        <v>180435</v>
      </c>
      <c r="F368" s="117"/>
    </row>
    <row r="369" spans="1:10" x14ac:dyDescent="0.2">
      <c r="A369" s="95"/>
      <c r="B369" s="32" t="s">
        <v>23</v>
      </c>
      <c r="C369" s="166"/>
      <c r="D369" s="133"/>
      <c r="E369" s="116">
        <f>D357-E368</f>
        <v>342815.88</v>
      </c>
      <c r="F369" s="117"/>
    </row>
    <row r="370" spans="1:10" ht="18" x14ac:dyDescent="0.2">
      <c r="A370" s="168" t="s">
        <v>247</v>
      </c>
      <c r="B370" s="168" t="s">
        <v>247</v>
      </c>
      <c r="C370" s="168" t="s">
        <v>247</v>
      </c>
      <c r="D370" s="168" t="s">
        <v>247</v>
      </c>
      <c r="E370" s="169" t="s">
        <v>247</v>
      </c>
      <c r="F370" s="168" t="s">
        <v>247</v>
      </c>
      <c r="G370" s="170"/>
      <c r="H370" s="171"/>
      <c r="I370" s="170"/>
      <c r="J370" s="170"/>
    </row>
    <row r="371" spans="1:10" ht="24" customHeight="1" x14ac:dyDescent="0.2">
      <c r="A371" s="802" t="s">
        <v>248</v>
      </c>
      <c r="B371" s="802"/>
      <c r="C371" s="802"/>
      <c r="D371" s="802"/>
      <c r="E371" s="802"/>
      <c r="F371" s="802"/>
    </row>
    <row r="372" spans="1:10" ht="30.75" customHeight="1" x14ac:dyDescent="0.2">
      <c r="A372" s="173">
        <v>1</v>
      </c>
      <c r="B372" s="174" t="s">
        <v>7</v>
      </c>
      <c r="C372" s="175"/>
      <c r="D372" s="820">
        <v>4946666.4000000004</v>
      </c>
      <c r="E372" s="821"/>
      <c r="F372" s="822"/>
    </row>
    <row r="373" spans="1:10" ht="17.25" customHeight="1" x14ac:dyDescent="0.2">
      <c r="A373" s="173">
        <f t="shared" ref="A373:A394" si="0">A372+1</f>
        <v>2</v>
      </c>
      <c r="B373" s="174" t="s">
        <v>249</v>
      </c>
      <c r="C373" s="175"/>
      <c r="D373" s="176">
        <v>300000</v>
      </c>
      <c r="E373" s="177"/>
      <c r="F373" s="178"/>
    </row>
    <row r="374" spans="1:10" ht="17.25" customHeight="1" x14ac:dyDescent="0.2">
      <c r="A374" s="173">
        <f t="shared" si="0"/>
        <v>3</v>
      </c>
      <c r="B374" s="174" t="s">
        <v>250</v>
      </c>
      <c r="C374" s="175"/>
      <c r="D374" s="176">
        <v>300000</v>
      </c>
      <c r="E374" s="176"/>
      <c r="F374" s="178"/>
    </row>
    <row r="375" spans="1:10" ht="18.75" customHeight="1" x14ac:dyDescent="0.2">
      <c r="A375" s="173">
        <f t="shared" si="0"/>
        <v>4</v>
      </c>
      <c r="B375" s="174" t="s">
        <v>251</v>
      </c>
      <c r="C375" s="175"/>
      <c r="D375" s="176">
        <v>150000</v>
      </c>
      <c r="E375" s="177"/>
      <c r="F375" s="178"/>
    </row>
    <row r="376" spans="1:10" ht="18.75" hidden="1" x14ac:dyDescent="0.2">
      <c r="A376" s="173">
        <f t="shared" si="0"/>
        <v>5</v>
      </c>
      <c r="B376" s="174" t="s">
        <v>252</v>
      </c>
      <c r="C376" s="175">
        <v>0.55000000000000004</v>
      </c>
      <c r="D376" s="176">
        <f>(D372-(SUM(D373:D375)))*C376</f>
        <v>2308166.5200000005</v>
      </c>
      <c r="E376" s="176"/>
      <c r="F376" s="178"/>
      <c r="I376" s="179"/>
      <c r="J376" s="179"/>
    </row>
    <row r="377" spans="1:10" ht="18.75" x14ac:dyDescent="0.2">
      <c r="A377" s="173">
        <f t="shared" si="0"/>
        <v>6</v>
      </c>
      <c r="B377" s="174" t="s">
        <v>253</v>
      </c>
      <c r="C377" s="175">
        <v>0.04</v>
      </c>
      <c r="D377" s="176">
        <f>D376*C377</f>
        <v>92326.660800000027</v>
      </c>
      <c r="E377" s="177"/>
      <c r="F377" s="178"/>
      <c r="G377" s="180"/>
      <c r="H377" s="181"/>
      <c r="I377" s="179"/>
      <c r="J377" s="179"/>
    </row>
    <row r="378" spans="1:10" ht="18.75" x14ac:dyDescent="0.2">
      <c r="A378" s="173">
        <f t="shared" si="0"/>
        <v>7</v>
      </c>
      <c r="B378" s="174" t="s">
        <v>11</v>
      </c>
      <c r="C378" s="175">
        <v>0.02</v>
      </c>
      <c r="D378" s="176">
        <f>D376*C378</f>
        <v>46163.330400000013</v>
      </c>
      <c r="E378" s="177"/>
      <c r="F378" s="178"/>
      <c r="G378" s="180"/>
      <c r="H378" s="181"/>
      <c r="I378" s="179"/>
      <c r="J378" s="179"/>
    </row>
    <row r="379" spans="1:10" ht="18.75" x14ac:dyDescent="0.2">
      <c r="A379" s="173">
        <f t="shared" si="0"/>
        <v>8</v>
      </c>
      <c r="B379" s="174" t="s">
        <v>26</v>
      </c>
      <c r="C379" s="175">
        <v>0.05</v>
      </c>
      <c r="D379" s="176">
        <f>D376*C379</f>
        <v>115408.32600000003</v>
      </c>
      <c r="E379" s="177"/>
      <c r="F379" s="178"/>
      <c r="G379" s="180"/>
      <c r="H379" s="181"/>
      <c r="I379" s="179"/>
      <c r="J379" s="179"/>
    </row>
    <row r="380" spans="1:10" ht="18.75" x14ac:dyDescent="0.2">
      <c r="A380" s="173">
        <f t="shared" si="0"/>
        <v>9</v>
      </c>
      <c r="B380" s="174" t="s">
        <v>254</v>
      </c>
      <c r="C380" s="175">
        <v>0.1</v>
      </c>
      <c r="D380" s="176">
        <f>D376*C380</f>
        <v>230816.65200000006</v>
      </c>
      <c r="E380" s="177"/>
      <c r="F380" s="178"/>
      <c r="G380" s="180"/>
      <c r="H380" s="181"/>
      <c r="I380" s="179"/>
      <c r="J380" s="179"/>
    </row>
    <row r="381" spans="1:10" ht="18.75" x14ac:dyDescent="0.2">
      <c r="A381" s="173">
        <f t="shared" si="0"/>
        <v>10</v>
      </c>
      <c r="B381" s="174" t="s">
        <v>234</v>
      </c>
      <c r="C381" s="175">
        <v>7.0000000000000007E-2</v>
      </c>
      <c r="D381" s="176">
        <f>D376*C381</f>
        <v>161571.65640000004</v>
      </c>
      <c r="E381" s="177"/>
      <c r="F381" s="178"/>
      <c r="G381" s="180"/>
      <c r="H381" s="182"/>
      <c r="I381" s="183"/>
      <c r="J381" s="183"/>
    </row>
    <row r="382" spans="1:10" ht="18.75" x14ac:dyDescent="0.2">
      <c r="A382" s="173">
        <f t="shared" si="0"/>
        <v>11</v>
      </c>
      <c r="B382" s="174" t="s">
        <v>255</v>
      </c>
      <c r="C382" s="175">
        <v>0.05</v>
      </c>
      <c r="D382" s="176">
        <f>D376*C382</f>
        <v>115408.32600000003</v>
      </c>
      <c r="E382" s="177"/>
      <c r="F382" s="178"/>
      <c r="G382" s="180"/>
      <c r="H382" s="181"/>
      <c r="I382" s="179"/>
      <c r="J382" s="179"/>
    </row>
    <row r="383" spans="1:10" ht="18.75" x14ac:dyDescent="0.2">
      <c r="A383" s="173">
        <f t="shared" si="0"/>
        <v>12</v>
      </c>
      <c r="B383" s="174" t="s">
        <v>256</v>
      </c>
      <c r="C383" s="175">
        <v>0.1</v>
      </c>
      <c r="D383" s="176">
        <f>D376*C383</f>
        <v>230816.65200000006</v>
      </c>
      <c r="E383" s="177"/>
      <c r="F383" s="178"/>
      <c r="G383" s="180"/>
      <c r="H383" s="181"/>
      <c r="I383" s="179"/>
      <c r="J383" s="179"/>
    </row>
    <row r="384" spans="1:10" ht="18.75" x14ac:dyDescent="0.2">
      <c r="A384" s="173">
        <f t="shared" si="0"/>
        <v>13</v>
      </c>
      <c r="B384" s="174" t="s">
        <v>168</v>
      </c>
      <c r="C384" s="175">
        <v>7.0000000000000007E-2</v>
      </c>
      <c r="D384" s="176">
        <f>D376*C384</f>
        <v>161571.65640000004</v>
      </c>
      <c r="E384" s="176"/>
      <c r="F384" s="178"/>
      <c r="G384" s="180"/>
      <c r="H384" s="181"/>
      <c r="I384" s="179"/>
      <c r="J384" s="179"/>
    </row>
    <row r="385" spans="1:10" ht="18.75" x14ac:dyDescent="0.2">
      <c r="A385" s="173">
        <f t="shared" si="0"/>
        <v>14</v>
      </c>
      <c r="B385" s="174" t="s">
        <v>257</v>
      </c>
      <c r="C385" s="175">
        <v>7.0000000000000007E-2</v>
      </c>
      <c r="D385" s="176">
        <f>D376*C385</f>
        <v>161571.65640000004</v>
      </c>
      <c r="E385" s="177"/>
      <c r="F385" s="178"/>
      <c r="G385" s="180"/>
      <c r="H385" s="181"/>
      <c r="I385" s="179"/>
      <c r="J385" s="179"/>
    </row>
    <row r="386" spans="1:10" ht="18.75" x14ac:dyDescent="0.2">
      <c r="A386" s="173">
        <f t="shared" si="0"/>
        <v>15</v>
      </c>
      <c r="B386" s="174" t="s">
        <v>258</v>
      </c>
      <c r="C386" s="175">
        <v>0.08</v>
      </c>
      <c r="D386" s="176">
        <f>D376*C386</f>
        <v>184653.32160000005</v>
      </c>
      <c r="E386" s="176"/>
      <c r="F386" s="178"/>
      <c r="G386" s="180"/>
      <c r="H386" s="181"/>
      <c r="I386" s="179"/>
      <c r="J386" s="179"/>
    </row>
    <row r="387" spans="1:10" ht="18.75" x14ac:dyDescent="0.2">
      <c r="A387" s="173">
        <f t="shared" si="0"/>
        <v>16</v>
      </c>
      <c r="B387" s="174" t="s">
        <v>40</v>
      </c>
      <c r="C387" s="175">
        <v>7.0000000000000007E-2</v>
      </c>
      <c r="D387" s="176">
        <f>D376*C387</f>
        <v>161571.65640000004</v>
      </c>
      <c r="E387" s="177"/>
      <c r="F387" s="178"/>
      <c r="G387" s="180"/>
      <c r="H387" s="181"/>
      <c r="I387" s="179"/>
      <c r="J387" s="179"/>
    </row>
    <row r="388" spans="1:10" ht="18.75" x14ac:dyDescent="0.2">
      <c r="A388" s="173">
        <f t="shared" si="0"/>
        <v>17</v>
      </c>
      <c r="B388" s="174" t="s">
        <v>259</v>
      </c>
      <c r="C388" s="175">
        <v>0.06</v>
      </c>
      <c r="D388" s="176">
        <f>D376*C388</f>
        <v>138489.99120000002</v>
      </c>
      <c r="E388" s="176"/>
      <c r="F388" s="178"/>
      <c r="G388" s="180"/>
      <c r="H388" s="181"/>
      <c r="I388" s="179"/>
      <c r="J388" s="179"/>
    </row>
    <row r="389" spans="1:10" ht="18.75" x14ac:dyDescent="0.2">
      <c r="A389" s="173">
        <f t="shared" si="0"/>
        <v>18</v>
      </c>
      <c r="B389" s="174" t="s">
        <v>260</v>
      </c>
      <c r="C389" s="175">
        <v>0.03</v>
      </c>
      <c r="D389" s="176">
        <f>D376*C389</f>
        <v>69244.995600000009</v>
      </c>
      <c r="E389" s="177"/>
      <c r="F389" s="178"/>
      <c r="G389" s="180"/>
      <c r="H389" s="181"/>
      <c r="I389" s="179"/>
      <c r="J389" s="179"/>
    </row>
    <row r="390" spans="1:10" ht="18.75" x14ac:dyDescent="0.2">
      <c r="A390" s="173">
        <f t="shared" si="0"/>
        <v>19</v>
      </c>
      <c r="B390" s="174" t="s">
        <v>261</v>
      </c>
      <c r="C390" s="175">
        <v>0.04</v>
      </c>
      <c r="D390" s="176">
        <f>D376*C390</f>
        <v>92326.660800000027</v>
      </c>
      <c r="E390" s="176"/>
      <c r="F390" s="178"/>
      <c r="G390" s="180"/>
      <c r="H390" s="181"/>
      <c r="I390" s="179"/>
      <c r="J390" s="179"/>
    </row>
    <row r="391" spans="1:10" ht="18.75" x14ac:dyDescent="0.2">
      <c r="A391" s="173">
        <f t="shared" si="0"/>
        <v>20</v>
      </c>
      <c r="B391" s="174" t="s">
        <v>262</v>
      </c>
      <c r="C391" s="175">
        <v>0.02</v>
      </c>
      <c r="D391" s="176">
        <f>D376*C391</f>
        <v>46163.330400000013</v>
      </c>
      <c r="E391" s="177"/>
      <c r="F391" s="178"/>
      <c r="G391" s="180"/>
      <c r="H391" s="181"/>
      <c r="I391" s="179"/>
      <c r="J391" s="179"/>
    </row>
    <row r="392" spans="1:10" ht="18" x14ac:dyDescent="0.2">
      <c r="A392" s="173">
        <f t="shared" si="0"/>
        <v>21</v>
      </c>
      <c r="B392" s="174" t="s">
        <v>205</v>
      </c>
      <c r="C392" s="175">
        <v>0.05</v>
      </c>
      <c r="D392" s="176">
        <f>D376*C392</f>
        <v>115408.32600000003</v>
      </c>
      <c r="E392" s="176"/>
      <c r="F392" s="178"/>
      <c r="G392" s="180"/>
      <c r="H392" s="184"/>
      <c r="I392" s="180"/>
      <c r="J392" s="180"/>
    </row>
    <row r="393" spans="1:10" ht="33.75" customHeight="1" x14ac:dyDescent="0.2">
      <c r="A393" s="173">
        <f t="shared" si="0"/>
        <v>22</v>
      </c>
      <c r="B393" s="174" t="s">
        <v>100</v>
      </c>
      <c r="C393" s="175">
        <v>0.06</v>
      </c>
      <c r="D393" s="176">
        <f>D376*C393</f>
        <v>138489.99120000002</v>
      </c>
      <c r="E393" s="177"/>
      <c r="F393" s="178"/>
      <c r="G393" s="180"/>
      <c r="H393" s="184"/>
      <c r="I393" s="180"/>
      <c r="J393" s="180"/>
    </row>
    <row r="394" spans="1:10" ht="18" x14ac:dyDescent="0.2">
      <c r="A394" s="173">
        <f t="shared" si="0"/>
        <v>23</v>
      </c>
      <c r="B394" s="174" t="s">
        <v>132</v>
      </c>
      <c r="C394" s="175">
        <f>100%-(SUM(C377:C393))</f>
        <v>1.9999999999999796E-2</v>
      </c>
      <c r="D394" s="176">
        <f>D376*C394</f>
        <v>46163.330399999541</v>
      </c>
      <c r="E394" s="176"/>
      <c r="F394" s="178"/>
      <c r="G394" s="180"/>
      <c r="H394" s="184"/>
      <c r="I394" s="180"/>
      <c r="J394" s="180"/>
    </row>
    <row r="395" spans="1:10" ht="18" x14ac:dyDescent="0.2">
      <c r="A395" s="173"/>
      <c r="B395" s="185" t="s">
        <v>22</v>
      </c>
      <c r="C395" s="186"/>
      <c r="D395" s="187">
        <f>SUM(D373:D375,D377:D394)</f>
        <v>3058166.52</v>
      </c>
      <c r="E395" s="187"/>
      <c r="F395" s="177"/>
      <c r="G395" s="180"/>
      <c r="H395" s="184"/>
      <c r="I395" s="180"/>
      <c r="J395" s="180"/>
    </row>
    <row r="396" spans="1:10" ht="18" x14ac:dyDescent="0.2">
      <c r="A396" s="173"/>
      <c r="B396" s="188" t="s">
        <v>23</v>
      </c>
      <c r="C396" s="186"/>
      <c r="D396" s="178">
        <f>D372-D395</f>
        <v>1888499.8800000004</v>
      </c>
      <c r="E396" s="189"/>
      <c r="F396" s="177"/>
      <c r="G396" s="180"/>
      <c r="H396" s="184"/>
      <c r="I396" s="180"/>
      <c r="J396" s="180"/>
    </row>
    <row r="397" spans="1:10" ht="18" x14ac:dyDescent="0.2">
      <c r="A397" s="190" t="s">
        <v>247</v>
      </c>
      <c r="B397" s="190" t="s">
        <v>247</v>
      </c>
      <c r="C397" s="190" t="s">
        <v>247</v>
      </c>
      <c r="D397" s="190" t="s">
        <v>247</v>
      </c>
      <c r="E397" s="191" t="s">
        <v>247</v>
      </c>
      <c r="F397" s="190" t="s">
        <v>247</v>
      </c>
    </row>
    <row r="398" spans="1:10" ht="24" customHeight="1" x14ac:dyDescent="0.2">
      <c r="A398" s="802" t="s">
        <v>263</v>
      </c>
      <c r="B398" s="802"/>
      <c r="C398" s="802"/>
      <c r="D398" s="802"/>
      <c r="E398" s="802"/>
      <c r="F398" s="802"/>
    </row>
    <row r="399" spans="1:10" ht="30.75" customHeight="1" x14ac:dyDescent="0.2">
      <c r="A399" s="173">
        <v>1</v>
      </c>
      <c r="B399" s="174" t="s">
        <v>7</v>
      </c>
      <c r="C399" s="175"/>
      <c r="D399" s="803">
        <v>11421034</v>
      </c>
      <c r="E399" s="803"/>
      <c r="F399" s="803"/>
    </row>
    <row r="400" spans="1:10" ht="30.75" customHeight="1" x14ac:dyDescent="0.2">
      <c r="A400" s="173"/>
      <c r="B400" s="174" t="s">
        <v>264</v>
      </c>
      <c r="C400" s="175"/>
      <c r="D400" s="176">
        <v>400000</v>
      </c>
      <c r="E400" s="192"/>
      <c r="F400" s="193"/>
    </row>
    <row r="401" spans="1:10" ht="30.75" customHeight="1" x14ac:dyDescent="0.2">
      <c r="A401" s="173"/>
      <c r="B401" s="174" t="s">
        <v>265</v>
      </c>
      <c r="C401" s="175">
        <v>0.4</v>
      </c>
      <c r="D401" s="176">
        <f>C401*D399</f>
        <v>4568413.6000000006</v>
      </c>
      <c r="E401" s="192"/>
      <c r="F401" s="193"/>
    </row>
    <row r="402" spans="1:10" ht="18.75" x14ac:dyDescent="0.2">
      <c r="A402" s="173">
        <v>2</v>
      </c>
      <c r="B402" s="174" t="s">
        <v>11</v>
      </c>
      <c r="C402" s="175">
        <v>0.04</v>
      </c>
      <c r="D402" s="176">
        <f>D401*C402</f>
        <v>182736.54400000002</v>
      </c>
      <c r="E402" s="177"/>
      <c r="F402" s="177"/>
      <c r="G402" s="180"/>
      <c r="H402" s="181"/>
      <c r="I402" s="179"/>
      <c r="J402" s="179"/>
    </row>
    <row r="403" spans="1:10" ht="18.75" x14ac:dyDescent="0.2">
      <c r="A403" s="173">
        <v>3</v>
      </c>
      <c r="B403" s="174" t="s">
        <v>26</v>
      </c>
      <c r="C403" s="175">
        <v>0.1</v>
      </c>
      <c r="D403" s="176">
        <f>C403*D401</f>
        <v>456841.3600000001</v>
      </c>
      <c r="E403" s="177"/>
      <c r="F403" s="177"/>
      <c r="G403" s="180"/>
      <c r="H403" s="181"/>
      <c r="I403" s="179"/>
      <c r="J403" s="179"/>
    </row>
    <row r="404" spans="1:10" ht="18.75" x14ac:dyDescent="0.2">
      <c r="A404" s="173">
        <v>4</v>
      </c>
      <c r="B404" s="174" t="s">
        <v>266</v>
      </c>
      <c r="C404" s="194">
        <v>2.5000000000000001E-2</v>
      </c>
      <c r="D404" s="176">
        <f>C404*D401</f>
        <v>114210.34000000003</v>
      </c>
      <c r="E404" s="177"/>
      <c r="F404" s="177"/>
      <c r="G404" s="180"/>
      <c r="H404" s="181"/>
      <c r="I404" s="179"/>
      <c r="J404" s="179"/>
    </row>
    <row r="405" spans="1:10" ht="18.75" x14ac:dyDescent="0.2">
      <c r="A405" s="173">
        <v>5</v>
      </c>
      <c r="B405" s="174" t="s">
        <v>20</v>
      </c>
      <c r="C405" s="175">
        <v>0.04</v>
      </c>
      <c r="D405" s="176">
        <f>C405*D401</f>
        <v>182736.54400000002</v>
      </c>
      <c r="E405" s="177"/>
      <c r="F405" s="177"/>
      <c r="G405" s="180"/>
      <c r="H405" s="182"/>
      <c r="I405" s="183"/>
      <c r="J405" s="183"/>
    </row>
    <row r="406" spans="1:10" ht="18.75" x14ac:dyDescent="0.2">
      <c r="A406" s="173">
        <v>6</v>
      </c>
      <c r="B406" s="174" t="s">
        <v>267</v>
      </c>
      <c r="C406" s="175">
        <v>0.06</v>
      </c>
      <c r="D406" s="176">
        <f>C406*D401</f>
        <v>274104.81600000005</v>
      </c>
      <c r="E406" s="177"/>
      <c r="F406" s="177"/>
      <c r="G406" s="180"/>
      <c r="H406" s="181"/>
      <c r="I406" s="179"/>
      <c r="J406" s="179"/>
    </row>
    <row r="407" spans="1:10" ht="18.75" x14ac:dyDescent="0.2">
      <c r="A407" s="173">
        <v>7</v>
      </c>
      <c r="B407" s="174" t="s">
        <v>256</v>
      </c>
      <c r="C407" s="175">
        <v>0.1</v>
      </c>
      <c r="D407" s="176">
        <f>C407*D401</f>
        <v>456841.3600000001</v>
      </c>
      <c r="E407" s="178">
        <v>287235</v>
      </c>
      <c r="F407" s="177" t="s">
        <v>268</v>
      </c>
      <c r="G407" s="180"/>
      <c r="H407" s="181"/>
      <c r="I407" s="179"/>
      <c r="J407" s="179"/>
    </row>
    <row r="408" spans="1:10" ht="18.75" x14ac:dyDescent="0.2">
      <c r="A408" s="173">
        <v>8</v>
      </c>
      <c r="B408" s="174" t="s">
        <v>168</v>
      </c>
      <c r="C408" s="175">
        <v>0.08</v>
      </c>
      <c r="D408" s="176">
        <f>C408*D401</f>
        <v>365473.08800000005</v>
      </c>
      <c r="E408" s="176">
        <v>45213</v>
      </c>
      <c r="F408" s="177" t="s">
        <v>269</v>
      </c>
      <c r="G408" s="180"/>
      <c r="H408" s="181"/>
      <c r="I408" s="179"/>
      <c r="J408" s="179"/>
    </row>
    <row r="409" spans="1:10" ht="18.75" x14ac:dyDescent="0.2">
      <c r="A409" s="173">
        <v>9</v>
      </c>
      <c r="B409" s="174" t="s">
        <v>257</v>
      </c>
      <c r="C409" s="175">
        <v>0.06</v>
      </c>
      <c r="D409" s="176">
        <f>C409*D401</f>
        <v>274104.81600000005</v>
      </c>
      <c r="E409" s="177"/>
      <c r="F409" s="177"/>
      <c r="G409" s="180"/>
      <c r="H409" s="181"/>
      <c r="I409" s="179"/>
      <c r="J409" s="179"/>
    </row>
    <row r="410" spans="1:10" ht="18.75" x14ac:dyDescent="0.2">
      <c r="A410" s="173">
        <v>10</v>
      </c>
      <c r="B410" s="174" t="s">
        <v>258</v>
      </c>
      <c r="C410" s="175">
        <v>0.08</v>
      </c>
      <c r="D410" s="176">
        <f>C410*D401</f>
        <v>365473.08800000005</v>
      </c>
      <c r="E410" s="178">
        <v>53192</v>
      </c>
      <c r="F410" s="177" t="s">
        <v>270</v>
      </c>
      <c r="G410" s="180"/>
      <c r="H410" s="181"/>
      <c r="I410" s="179"/>
      <c r="J410" s="179"/>
    </row>
    <row r="411" spans="1:10" ht="18.75" x14ac:dyDescent="0.2">
      <c r="A411" s="173">
        <v>11</v>
      </c>
      <c r="B411" s="174" t="s">
        <v>40</v>
      </c>
      <c r="C411" s="175">
        <v>0.08</v>
      </c>
      <c r="D411" s="176">
        <f>C411*D401</f>
        <v>365473.08800000005</v>
      </c>
      <c r="E411" s="176">
        <v>80000</v>
      </c>
      <c r="F411" s="177" t="s">
        <v>271</v>
      </c>
      <c r="G411" s="180"/>
      <c r="H411" s="181"/>
      <c r="I411" s="179"/>
      <c r="J411" s="179"/>
    </row>
    <row r="412" spans="1:10" ht="18.75" x14ac:dyDescent="0.2">
      <c r="A412" s="173">
        <v>12</v>
      </c>
      <c r="B412" s="174" t="s">
        <v>260</v>
      </c>
      <c r="C412" s="194">
        <v>2.5000000000000001E-2</v>
      </c>
      <c r="D412" s="176">
        <f>C412*D401</f>
        <v>114210.34000000003</v>
      </c>
      <c r="E412" s="177"/>
      <c r="F412" s="177"/>
      <c r="G412" s="180"/>
      <c r="H412" s="181"/>
      <c r="I412" s="179"/>
      <c r="J412" s="179"/>
    </row>
    <row r="413" spans="1:10" ht="18.75" x14ac:dyDescent="0.2">
      <c r="A413" s="173">
        <v>13</v>
      </c>
      <c r="B413" s="174" t="s">
        <v>272</v>
      </c>
      <c r="C413" s="175">
        <v>0.02</v>
      </c>
      <c r="D413" s="176">
        <f>C413*D401</f>
        <v>91368.272000000012</v>
      </c>
      <c r="E413" s="177"/>
      <c r="F413" s="177"/>
      <c r="G413" s="180"/>
      <c r="H413" s="181"/>
      <c r="I413" s="179"/>
      <c r="J413" s="179"/>
    </row>
    <row r="414" spans="1:10" ht="18.75" x14ac:dyDescent="0.2">
      <c r="A414" s="173">
        <v>14</v>
      </c>
      <c r="B414" s="174" t="s">
        <v>273</v>
      </c>
      <c r="C414" s="194">
        <v>1.4999999999999999E-2</v>
      </c>
      <c r="D414" s="176">
        <f>C414*D401</f>
        <v>68526.204000000012</v>
      </c>
      <c r="E414" s="176"/>
      <c r="F414" s="177"/>
      <c r="G414" s="180"/>
      <c r="H414" s="181"/>
      <c r="I414" s="179"/>
      <c r="J414" s="179"/>
    </row>
    <row r="415" spans="1:10" ht="18.75" x14ac:dyDescent="0.2">
      <c r="A415" s="173">
        <v>15</v>
      </c>
      <c r="B415" s="174" t="s">
        <v>261</v>
      </c>
      <c r="C415" s="194">
        <v>3.5000000000000003E-2</v>
      </c>
      <c r="D415" s="176">
        <f>C415*D401</f>
        <v>159894.47600000002</v>
      </c>
      <c r="E415" s="178">
        <v>74500</v>
      </c>
      <c r="F415" s="177" t="s">
        <v>274</v>
      </c>
      <c r="G415" s="180"/>
      <c r="H415" s="181"/>
      <c r="I415" s="179"/>
      <c r="J415" s="179"/>
    </row>
    <row r="416" spans="1:10" ht="18" x14ac:dyDescent="0.2">
      <c r="A416" s="173">
        <v>16</v>
      </c>
      <c r="B416" s="174" t="s">
        <v>205</v>
      </c>
      <c r="C416" s="175">
        <v>7.0000000000000007E-2</v>
      </c>
      <c r="D416" s="176">
        <f>C416*D401</f>
        <v>319788.95200000005</v>
      </c>
      <c r="E416" s="176"/>
      <c r="F416" s="177"/>
      <c r="G416" s="180"/>
      <c r="H416" s="184"/>
      <c r="I416" s="180"/>
      <c r="J416" s="180"/>
    </row>
    <row r="417" spans="1:10" ht="33.75" customHeight="1" x14ac:dyDescent="0.2">
      <c r="A417" s="173">
        <v>17</v>
      </c>
      <c r="B417" s="174" t="s">
        <v>100</v>
      </c>
      <c r="C417" s="175">
        <v>0.05</v>
      </c>
      <c r="D417" s="176">
        <f>C417*D401</f>
        <v>228420.68000000005</v>
      </c>
      <c r="E417" s="177"/>
      <c r="F417" s="177"/>
      <c r="G417" s="180"/>
      <c r="H417" s="184"/>
      <c r="I417" s="180"/>
      <c r="J417" s="180"/>
    </row>
    <row r="418" spans="1:10" ht="18" x14ac:dyDescent="0.2">
      <c r="A418" s="173">
        <v>18</v>
      </c>
      <c r="B418" s="174" t="s">
        <v>132</v>
      </c>
      <c r="C418" s="175">
        <f>100%-(SUM(C402:C417))</f>
        <v>0.11999999999999988</v>
      </c>
      <c r="D418" s="176">
        <f>C418*D401</f>
        <v>548209.63199999952</v>
      </c>
      <c r="E418" s="176"/>
      <c r="F418" s="177"/>
      <c r="G418" s="180"/>
      <c r="H418" s="184"/>
      <c r="I418" s="180"/>
      <c r="J418" s="180"/>
    </row>
    <row r="419" spans="1:10" ht="18" x14ac:dyDescent="0.2">
      <c r="A419" s="173"/>
      <c r="B419" s="185" t="s">
        <v>275</v>
      </c>
      <c r="C419" s="195">
        <f>D419/D399</f>
        <v>0.6</v>
      </c>
      <c r="D419" s="187">
        <f>D399-D401</f>
        <v>6852620.3999999994</v>
      </c>
      <c r="E419" s="187"/>
      <c r="F419" s="177"/>
      <c r="G419" s="180"/>
      <c r="H419" s="184"/>
      <c r="I419" s="180"/>
      <c r="J419" s="180"/>
    </row>
    <row r="420" spans="1:10" ht="18" x14ac:dyDescent="0.2">
      <c r="A420" s="173"/>
      <c r="B420" s="188" t="s">
        <v>23</v>
      </c>
      <c r="C420" s="196">
        <f>D420/D399</f>
        <v>0.64799999999999991</v>
      </c>
      <c r="D420" s="197">
        <f>D418+D419</f>
        <v>7400830.0319999987</v>
      </c>
      <c r="E420" s="187"/>
      <c r="F420" s="177"/>
      <c r="G420" s="180"/>
      <c r="H420" s="184"/>
      <c r="I420" s="180"/>
      <c r="J420" s="180"/>
    </row>
    <row r="421" spans="1:10" ht="18" x14ac:dyDescent="0.2">
      <c r="A421" s="190" t="s">
        <v>247</v>
      </c>
      <c r="B421" s="190" t="s">
        <v>247</v>
      </c>
      <c r="C421" s="190" t="s">
        <v>247</v>
      </c>
      <c r="D421" s="190" t="s">
        <v>247</v>
      </c>
      <c r="E421" s="191" t="s">
        <v>247</v>
      </c>
      <c r="F421" s="190" t="s">
        <v>247</v>
      </c>
    </row>
    <row r="422" spans="1:10" ht="20.25" x14ac:dyDescent="0.2">
      <c r="A422" s="802" t="s">
        <v>276</v>
      </c>
      <c r="B422" s="802"/>
      <c r="C422" s="802"/>
      <c r="D422" s="802"/>
      <c r="E422" s="802"/>
      <c r="F422" s="802"/>
    </row>
    <row r="423" spans="1:10" x14ac:dyDescent="0.2">
      <c r="A423" s="173">
        <v>1</v>
      </c>
      <c r="B423" s="174" t="s">
        <v>7</v>
      </c>
      <c r="C423" s="175"/>
      <c r="D423" s="803">
        <v>3400000</v>
      </c>
      <c r="E423" s="803"/>
      <c r="F423" s="803"/>
    </row>
    <row r="424" spans="1:10" ht="31.5" x14ac:dyDescent="0.2">
      <c r="A424" s="173">
        <v>2</v>
      </c>
      <c r="B424" s="174" t="s">
        <v>265</v>
      </c>
      <c r="C424" s="175">
        <v>0.4</v>
      </c>
      <c r="D424" s="176">
        <f>C424*D423</f>
        <v>1360000</v>
      </c>
      <c r="E424" s="192"/>
      <c r="F424" s="192"/>
    </row>
    <row r="425" spans="1:10" x14ac:dyDescent="0.2">
      <c r="A425" s="173">
        <v>3</v>
      </c>
      <c r="B425" s="174" t="s">
        <v>277</v>
      </c>
      <c r="C425" s="175">
        <v>0.05</v>
      </c>
      <c r="D425" s="176">
        <f>D424*C425</f>
        <v>68000</v>
      </c>
      <c r="E425" s="177"/>
      <c r="F425" s="178"/>
    </row>
    <row r="426" spans="1:10" x14ac:dyDescent="0.2">
      <c r="A426" s="173">
        <v>4</v>
      </c>
      <c r="B426" s="174" t="s">
        <v>278</v>
      </c>
      <c r="C426" s="175">
        <v>0.15</v>
      </c>
      <c r="D426" s="176">
        <f>C426*D424</f>
        <v>204000</v>
      </c>
      <c r="E426" s="177"/>
      <c r="F426" s="178"/>
    </row>
    <row r="427" spans="1:10" x14ac:dyDescent="0.2">
      <c r="A427" s="173">
        <v>5</v>
      </c>
      <c r="B427" s="174" t="s">
        <v>279</v>
      </c>
      <c r="C427" s="175">
        <v>0.25</v>
      </c>
      <c r="D427" s="176">
        <f>C427*D424</f>
        <v>340000</v>
      </c>
      <c r="E427" s="177"/>
      <c r="F427" s="178"/>
    </row>
    <row r="428" spans="1:10" x14ac:dyDescent="0.2">
      <c r="A428" s="173">
        <v>6</v>
      </c>
      <c r="B428" s="174" t="s">
        <v>70</v>
      </c>
      <c r="C428" s="175">
        <v>0.05</v>
      </c>
      <c r="D428" s="176">
        <f>C428*D424</f>
        <v>68000</v>
      </c>
      <c r="E428" s="177"/>
      <c r="F428" s="178"/>
    </row>
    <row r="429" spans="1:10" x14ac:dyDescent="0.2">
      <c r="A429" s="173">
        <v>7</v>
      </c>
      <c r="B429" s="174" t="s">
        <v>280</v>
      </c>
      <c r="C429" s="175">
        <v>0.2</v>
      </c>
      <c r="D429" s="176">
        <f>C429*D424</f>
        <v>272000</v>
      </c>
      <c r="E429" s="177"/>
      <c r="F429" s="178"/>
    </row>
    <row r="430" spans="1:10" x14ac:dyDescent="0.2">
      <c r="A430" s="173">
        <v>8</v>
      </c>
      <c r="B430" s="174" t="s">
        <v>281</v>
      </c>
      <c r="C430" s="175">
        <v>0.03</v>
      </c>
      <c r="D430" s="176">
        <f>C430*D424</f>
        <v>40800</v>
      </c>
      <c r="E430" s="177"/>
      <c r="F430" s="178"/>
    </row>
    <row r="431" spans="1:10" x14ac:dyDescent="0.2">
      <c r="A431" s="173">
        <v>9</v>
      </c>
      <c r="B431" s="174" t="s">
        <v>282</v>
      </c>
      <c r="C431" s="175">
        <v>0.08</v>
      </c>
      <c r="D431" s="176">
        <f>C431*D424</f>
        <v>108800</v>
      </c>
      <c r="E431" s="176"/>
      <c r="F431" s="178"/>
    </row>
    <row r="432" spans="1:10" x14ac:dyDescent="0.2">
      <c r="A432" s="173">
        <v>10</v>
      </c>
      <c r="B432" s="174" t="s">
        <v>259</v>
      </c>
      <c r="C432" s="175">
        <v>0.08</v>
      </c>
      <c r="D432" s="176">
        <f>C432*D424</f>
        <v>108800</v>
      </c>
      <c r="E432" s="178">
        <v>85200</v>
      </c>
      <c r="F432" s="178" t="s">
        <v>283</v>
      </c>
    </row>
    <row r="433" spans="1:6" x14ac:dyDescent="0.2">
      <c r="A433" s="173">
        <v>11</v>
      </c>
      <c r="B433" s="174" t="s">
        <v>100</v>
      </c>
      <c r="C433" s="175">
        <v>7.0000000000000007E-2</v>
      </c>
      <c r="D433" s="176">
        <f>C433*D424</f>
        <v>95200.000000000015</v>
      </c>
      <c r="E433" s="177"/>
      <c r="F433" s="178"/>
    </row>
    <row r="434" spans="1:6" x14ac:dyDescent="0.2">
      <c r="A434" s="173">
        <v>12</v>
      </c>
      <c r="B434" s="174" t="s">
        <v>132</v>
      </c>
      <c r="C434" s="175">
        <f>100%-(SUM(C425:C433))</f>
        <v>4.0000000000000036E-2</v>
      </c>
      <c r="D434" s="176">
        <f>C434*D424</f>
        <v>54400.000000000051</v>
      </c>
      <c r="E434" s="176"/>
      <c r="F434" s="178"/>
    </row>
    <row r="435" spans="1:6" x14ac:dyDescent="0.2">
      <c r="A435" s="173"/>
      <c r="B435" s="185" t="s">
        <v>284</v>
      </c>
      <c r="C435" s="195">
        <f>D435/D423</f>
        <v>0.6</v>
      </c>
      <c r="D435" s="187">
        <f>D423-D424</f>
        <v>2040000</v>
      </c>
      <c r="E435" s="187"/>
      <c r="F435" s="177"/>
    </row>
    <row r="436" spans="1:6" x14ac:dyDescent="0.2">
      <c r="A436" s="173"/>
      <c r="B436" s="188" t="s">
        <v>23</v>
      </c>
      <c r="C436" s="196">
        <f>D436/D423</f>
        <v>0.61599999999999999</v>
      </c>
      <c r="D436" s="197">
        <f>D434+D435</f>
        <v>2094400</v>
      </c>
      <c r="E436" s="187"/>
      <c r="F436" s="177"/>
    </row>
    <row r="437" spans="1:6" ht="80.099999999999994" customHeight="1" x14ac:dyDescent="0.2">
      <c r="A437" s="813" t="s">
        <v>285</v>
      </c>
      <c r="B437" s="814"/>
      <c r="C437" s="814"/>
      <c r="D437" s="814"/>
      <c r="E437" s="815"/>
      <c r="F437" s="816"/>
    </row>
    <row r="438" spans="1:6" ht="52.5" customHeight="1" x14ac:dyDescent="0.2">
      <c r="A438" s="198">
        <v>1</v>
      </c>
      <c r="B438" s="199" t="s">
        <v>286</v>
      </c>
      <c r="C438" s="200" t="s">
        <v>246</v>
      </c>
      <c r="D438" s="803">
        <v>2600739.0099999998</v>
      </c>
      <c r="E438" s="803"/>
      <c r="F438" s="803"/>
    </row>
    <row r="439" spans="1:6" ht="30.75" hidden="1" customHeight="1" x14ac:dyDescent="0.2">
      <c r="A439" s="198">
        <v>2</v>
      </c>
      <c r="B439" s="201"/>
      <c r="C439" s="200"/>
      <c r="D439" s="202"/>
      <c r="E439" s="202"/>
      <c r="F439" s="203"/>
    </row>
    <row r="440" spans="1:6" ht="17.25" hidden="1" customHeight="1" x14ac:dyDescent="0.2">
      <c r="A440" s="198">
        <v>3</v>
      </c>
      <c r="B440" s="201"/>
      <c r="C440" s="200"/>
      <c r="D440" s="202"/>
      <c r="E440" s="202"/>
      <c r="F440" s="203"/>
    </row>
    <row r="441" spans="1:6" ht="17.25" hidden="1" customHeight="1" x14ac:dyDescent="0.2">
      <c r="A441" s="198">
        <v>4</v>
      </c>
      <c r="B441" s="201"/>
      <c r="C441" s="200"/>
      <c r="D441" s="202"/>
      <c r="E441" s="202"/>
      <c r="F441" s="203"/>
    </row>
    <row r="442" spans="1:6" ht="18.75" hidden="1" customHeight="1" x14ac:dyDescent="0.2">
      <c r="A442" s="198">
        <v>5</v>
      </c>
      <c r="B442" s="201"/>
      <c r="C442" s="200"/>
      <c r="D442" s="202"/>
      <c r="E442" s="202"/>
      <c r="F442" s="203"/>
    </row>
    <row r="443" spans="1:6" ht="18.75" hidden="1" x14ac:dyDescent="0.2">
      <c r="A443" s="198">
        <v>6</v>
      </c>
      <c r="B443" s="201"/>
      <c r="C443" s="200"/>
      <c r="D443" s="202"/>
      <c r="E443" s="202"/>
      <c r="F443" s="203"/>
    </row>
    <row r="444" spans="1:6" ht="18.75" hidden="1" x14ac:dyDescent="0.2">
      <c r="A444" s="198">
        <v>7</v>
      </c>
      <c r="B444" s="201"/>
      <c r="C444" s="200"/>
      <c r="D444" s="202"/>
      <c r="E444" s="202"/>
      <c r="F444" s="203"/>
    </row>
    <row r="445" spans="1:6" ht="18.75" x14ac:dyDescent="0.2">
      <c r="A445" s="198">
        <v>8</v>
      </c>
      <c r="B445" s="201" t="s">
        <v>287</v>
      </c>
      <c r="C445" s="200"/>
      <c r="D445" s="202">
        <v>2512.36</v>
      </c>
      <c r="E445" s="202"/>
      <c r="F445" s="203"/>
    </row>
    <row r="446" spans="1:6" ht="37.5" x14ac:dyDescent="0.2">
      <c r="A446" s="198">
        <v>9</v>
      </c>
      <c r="B446" s="204" t="s">
        <v>288</v>
      </c>
      <c r="C446" s="200"/>
      <c r="D446" s="205">
        <v>872882</v>
      </c>
      <c r="E446" s="205"/>
      <c r="F446" s="203"/>
    </row>
    <row r="447" spans="1:6" ht="18.75" x14ac:dyDescent="0.2">
      <c r="A447" s="198"/>
      <c r="B447" s="201" t="s">
        <v>289</v>
      </c>
      <c r="C447" s="206">
        <v>0.4</v>
      </c>
      <c r="D447" s="205">
        <f>D438*C447</f>
        <v>1040295.6039999999</v>
      </c>
      <c r="E447" s="202"/>
      <c r="F447" s="203"/>
    </row>
    <row r="448" spans="1:6" ht="20.100000000000001" customHeight="1" x14ac:dyDescent="0.2">
      <c r="A448" s="198">
        <v>10</v>
      </c>
      <c r="B448" s="201" t="s">
        <v>118</v>
      </c>
      <c r="C448" s="206">
        <v>0.1</v>
      </c>
      <c r="D448" s="202">
        <f>D447*C448</f>
        <v>104029.5604</v>
      </c>
      <c r="E448" s="207"/>
      <c r="F448" s="203"/>
    </row>
    <row r="449" spans="1:6" ht="20.100000000000001" customHeight="1" x14ac:dyDescent="0.2">
      <c r="A449" s="198">
        <v>11</v>
      </c>
      <c r="B449" s="201" t="s">
        <v>11</v>
      </c>
      <c r="C449" s="206">
        <v>0.04</v>
      </c>
      <c r="D449" s="202">
        <f>D447*C449</f>
        <v>41611.824159999996</v>
      </c>
      <c r="E449" s="207"/>
      <c r="F449" s="203"/>
    </row>
    <row r="450" spans="1:6" ht="20.100000000000001" customHeight="1" x14ac:dyDescent="0.2">
      <c r="A450" s="198">
        <v>12</v>
      </c>
      <c r="B450" s="201" t="s">
        <v>290</v>
      </c>
      <c r="C450" s="206">
        <v>0.04</v>
      </c>
      <c r="D450" s="202">
        <f>D447*C450</f>
        <v>41611.824159999996</v>
      </c>
      <c r="E450" s="207"/>
      <c r="F450" s="203"/>
    </row>
    <row r="451" spans="1:6" ht="20.100000000000001" customHeight="1" x14ac:dyDescent="0.2">
      <c r="A451" s="198">
        <v>13</v>
      </c>
      <c r="B451" s="201" t="s">
        <v>291</v>
      </c>
      <c r="C451" s="206">
        <v>0.02</v>
      </c>
      <c r="D451" s="202">
        <f>D447*C451</f>
        <v>20805.912079999998</v>
      </c>
      <c r="E451" s="207"/>
      <c r="F451" s="203"/>
    </row>
    <row r="452" spans="1:6" ht="20.100000000000001" customHeight="1" x14ac:dyDescent="0.2">
      <c r="A452" s="198">
        <v>14</v>
      </c>
      <c r="B452" s="201" t="s">
        <v>292</v>
      </c>
      <c r="C452" s="206">
        <v>0.02</v>
      </c>
      <c r="D452" s="202">
        <f>D447*C452</f>
        <v>20805.912079999998</v>
      </c>
      <c r="E452" s="207"/>
      <c r="F452" s="203"/>
    </row>
    <row r="453" spans="1:6" ht="20.100000000000001" customHeight="1" x14ac:dyDescent="0.2">
      <c r="A453" s="198">
        <v>15</v>
      </c>
      <c r="B453" s="201" t="s">
        <v>293</v>
      </c>
      <c r="C453" s="206">
        <v>0.04</v>
      </c>
      <c r="D453" s="202">
        <f>D447*C453</f>
        <v>41611.824159999996</v>
      </c>
      <c r="E453" s="207"/>
      <c r="F453" s="203"/>
    </row>
    <row r="454" spans="1:6" ht="20.100000000000001" customHeight="1" x14ac:dyDescent="0.2">
      <c r="A454" s="198">
        <v>16</v>
      </c>
      <c r="B454" s="201" t="s">
        <v>294</v>
      </c>
      <c r="C454" s="206">
        <v>0.04</v>
      </c>
      <c r="D454" s="202">
        <f>D447*C454</f>
        <v>41611.824159999996</v>
      </c>
      <c r="E454" s="207"/>
      <c r="F454" s="203"/>
    </row>
    <row r="455" spans="1:6" ht="20.100000000000001" customHeight="1" x14ac:dyDescent="0.2">
      <c r="A455" s="198">
        <v>17</v>
      </c>
      <c r="B455" s="201" t="s">
        <v>295</v>
      </c>
      <c r="C455" s="206">
        <v>0.04</v>
      </c>
      <c r="D455" s="202">
        <f>D447*C455</f>
        <v>41611.824159999996</v>
      </c>
      <c r="E455" s="207"/>
      <c r="F455" s="203"/>
    </row>
    <row r="456" spans="1:6" ht="20.100000000000001" customHeight="1" x14ac:dyDescent="0.2">
      <c r="A456" s="198">
        <v>18</v>
      </c>
      <c r="B456" s="201" t="s">
        <v>296</v>
      </c>
      <c r="C456" s="206">
        <v>0.04</v>
      </c>
      <c r="D456" s="202">
        <f>D447*C456</f>
        <v>41611.824159999996</v>
      </c>
      <c r="E456" s="207"/>
      <c r="F456" s="203"/>
    </row>
    <row r="457" spans="1:6" ht="20.100000000000001" customHeight="1" x14ac:dyDescent="0.2">
      <c r="A457" s="198">
        <v>19</v>
      </c>
      <c r="B457" s="201" t="s">
        <v>297</v>
      </c>
      <c r="C457" s="206">
        <v>0.04</v>
      </c>
      <c r="D457" s="202">
        <f>D447*C457</f>
        <v>41611.824159999996</v>
      </c>
      <c r="E457" s="207"/>
      <c r="F457" s="203"/>
    </row>
    <row r="458" spans="1:6" ht="20.100000000000001" customHeight="1" x14ac:dyDescent="0.2">
      <c r="A458" s="198">
        <v>20</v>
      </c>
      <c r="B458" s="201" t="s">
        <v>298</v>
      </c>
      <c r="C458" s="206">
        <v>0.02</v>
      </c>
      <c r="D458" s="202">
        <f>D447*C458</f>
        <v>20805.912079999998</v>
      </c>
      <c r="E458" s="207"/>
      <c r="F458" s="203"/>
    </row>
    <row r="459" spans="1:6" ht="20.100000000000001" customHeight="1" x14ac:dyDescent="0.2">
      <c r="A459" s="198">
        <v>21</v>
      </c>
      <c r="B459" s="201" t="s">
        <v>299</v>
      </c>
      <c r="C459" s="206">
        <v>0.05</v>
      </c>
      <c r="D459" s="202">
        <f>D447*C459</f>
        <v>52014.780200000001</v>
      </c>
      <c r="E459" s="207"/>
      <c r="F459" s="203"/>
    </row>
    <row r="460" spans="1:6" ht="20.100000000000001" customHeight="1" x14ac:dyDescent="0.2">
      <c r="A460" s="198">
        <v>22</v>
      </c>
      <c r="B460" s="201" t="s">
        <v>272</v>
      </c>
      <c r="C460" s="206">
        <v>0.04</v>
      </c>
      <c r="D460" s="202">
        <f>D447*C460</f>
        <v>41611.824159999996</v>
      </c>
      <c r="E460" s="207"/>
      <c r="F460" s="203"/>
    </row>
    <row r="461" spans="1:6" ht="20.100000000000001" customHeight="1" x14ac:dyDescent="0.2">
      <c r="A461" s="198">
        <v>23</v>
      </c>
      <c r="B461" s="201" t="s">
        <v>300</v>
      </c>
      <c r="C461" s="206">
        <v>0.04</v>
      </c>
      <c r="D461" s="202">
        <f>D447*C461</f>
        <v>41611.824159999996</v>
      </c>
      <c r="E461" s="207"/>
      <c r="F461" s="203"/>
    </row>
    <row r="462" spans="1:6" ht="20.100000000000001" customHeight="1" x14ac:dyDescent="0.2">
      <c r="A462" s="198">
        <v>24</v>
      </c>
      <c r="B462" s="201" t="s">
        <v>273</v>
      </c>
      <c r="C462" s="206">
        <v>0.02</v>
      </c>
      <c r="D462" s="202">
        <f>D447*C462</f>
        <v>20805.912079999998</v>
      </c>
      <c r="E462" s="207"/>
      <c r="F462" s="203"/>
    </row>
    <row r="463" spans="1:6" ht="20.100000000000001" customHeight="1" x14ac:dyDescent="0.2">
      <c r="A463" s="198">
        <v>25</v>
      </c>
      <c r="B463" s="201" t="s">
        <v>262</v>
      </c>
      <c r="C463" s="206">
        <v>0.02</v>
      </c>
      <c r="D463" s="202">
        <f>D447*C463</f>
        <v>20805.912079999998</v>
      </c>
      <c r="E463" s="207"/>
      <c r="F463" s="203"/>
    </row>
    <row r="464" spans="1:6" ht="20.100000000000001" customHeight="1" x14ac:dyDescent="0.2">
      <c r="A464" s="198">
        <v>26</v>
      </c>
      <c r="B464" s="201" t="s">
        <v>205</v>
      </c>
      <c r="C464" s="206">
        <v>0.05</v>
      </c>
      <c r="D464" s="202">
        <f>D447*C464</f>
        <v>52014.780200000001</v>
      </c>
      <c r="E464" s="207"/>
      <c r="F464" s="203"/>
    </row>
    <row r="465" spans="1:6" ht="50.25" customHeight="1" x14ac:dyDescent="0.2">
      <c r="A465" s="198">
        <v>27</v>
      </c>
      <c r="B465" s="201" t="s">
        <v>100</v>
      </c>
      <c r="C465" s="206">
        <v>3.5000000000000003E-2</v>
      </c>
      <c r="D465" s="202">
        <f>(D438-SUM(D439:D446))*C465</f>
        <v>60387.062750000005</v>
      </c>
      <c r="E465" s="207"/>
      <c r="F465" s="203"/>
    </row>
    <row r="466" spans="1:6" ht="20.100000000000001" customHeight="1" x14ac:dyDescent="0.2">
      <c r="A466" s="198">
        <v>28</v>
      </c>
      <c r="B466" s="208" t="s">
        <v>132</v>
      </c>
      <c r="C466" s="209">
        <v>0.12</v>
      </c>
      <c r="D466" s="210">
        <f>D438*C466</f>
        <v>312088.68119999993</v>
      </c>
      <c r="E466" s="211"/>
      <c r="F466" s="212"/>
    </row>
    <row r="467" spans="1:6" ht="20.100000000000001" customHeight="1" x14ac:dyDescent="0.2">
      <c r="A467" s="198"/>
      <c r="B467" s="185" t="s">
        <v>284</v>
      </c>
      <c r="C467" s="195">
        <f>D467/D438</f>
        <v>0.26340553333723399</v>
      </c>
      <c r="D467" s="213">
        <f>D438-SUM(D445:D447)</f>
        <v>685049.04599999986</v>
      </c>
      <c r="E467" s="214"/>
      <c r="F467" s="203"/>
    </row>
    <row r="468" spans="1:6" ht="19.5" x14ac:dyDescent="0.2">
      <c r="A468" s="198"/>
      <c r="B468" s="215" t="s">
        <v>23</v>
      </c>
      <c r="C468" s="195">
        <f>D467/D438</f>
        <v>0.26340553333723399</v>
      </c>
      <c r="D468" s="202">
        <f>D466+D467</f>
        <v>997137.72719999985</v>
      </c>
      <c r="E468" s="214"/>
      <c r="F468" s="203"/>
    </row>
    <row r="469" spans="1:6" ht="18" x14ac:dyDescent="0.2">
      <c r="A469" s="216"/>
      <c r="B469" s="216"/>
      <c r="C469" s="216"/>
      <c r="D469" s="216"/>
      <c r="E469" s="217"/>
      <c r="F469" s="216"/>
    </row>
    <row r="470" spans="1:6" ht="18" x14ac:dyDescent="0.2">
      <c r="A470" s="218"/>
      <c r="B470" s="219" t="s">
        <v>301</v>
      </c>
      <c r="C470" s="220"/>
      <c r="D470" s="218"/>
      <c r="E470" s="221"/>
      <c r="F470" s="218"/>
    </row>
    <row r="471" spans="1:6" ht="18" x14ac:dyDescent="0.2">
      <c r="A471" s="218"/>
      <c r="B471" s="218" t="s">
        <v>302</v>
      </c>
      <c r="C471" s="817"/>
      <c r="D471" s="818"/>
      <c r="E471" s="818"/>
      <c r="F471" s="819"/>
    </row>
    <row r="472" spans="1:6" ht="18" x14ac:dyDescent="0.2">
      <c r="A472" s="218"/>
      <c r="B472" s="218" t="s">
        <v>303</v>
      </c>
      <c r="C472" s="817" t="s">
        <v>304</v>
      </c>
      <c r="D472" s="818"/>
      <c r="E472" s="818"/>
      <c r="F472" s="819"/>
    </row>
    <row r="473" spans="1:6" ht="18" x14ac:dyDescent="0.2">
      <c r="A473" s="190" t="s">
        <v>247</v>
      </c>
      <c r="B473" s="190" t="s">
        <v>247</v>
      </c>
      <c r="C473" s="190" t="s">
        <v>247</v>
      </c>
      <c r="D473" s="190" t="s">
        <v>247</v>
      </c>
      <c r="E473" s="191" t="s">
        <v>247</v>
      </c>
      <c r="F473" s="190" t="s">
        <v>247</v>
      </c>
    </row>
    <row r="474" spans="1:6" ht="60" customHeight="1" x14ac:dyDescent="0.2">
      <c r="A474" s="802" t="s">
        <v>305</v>
      </c>
      <c r="B474" s="802"/>
      <c r="C474" s="802"/>
      <c r="D474" s="802"/>
      <c r="E474" s="802"/>
      <c r="F474" s="802"/>
    </row>
    <row r="475" spans="1:6" ht="18.75" x14ac:dyDescent="0.2">
      <c r="A475" s="223">
        <v>1</v>
      </c>
      <c r="B475" s="201" t="s">
        <v>7</v>
      </c>
      <c r="C475" s="175"/>
      <c r="D475" s="803">
        <v>374000</v>
      </c>
      <c r="E475" s="803"/>
      <c r="F475" s="803"/>
    </row>
    <row r="476" spans="1:6" ht="18.75" x14ac:dyDescent="0.2">
      <c r="A476" s="223">
        <v>2</v>
      </c>
      <c r="B476" s="201" t="s">
        <v>306</v>
      </c>
      <c r="C476" s="224">
        <v>0.3</v>
      </c>
      <c r="D476" s="225">
        <f>D475*0.3</f>
        <v>112200</v>
      </c>
      <c r="E476" s="192"/>
      <c r="F476" s="192"/>
    </row>
    <row r="477" spans="1:6" ht="18.75" x14ac:dyDescent="0.2">
      <c r="A477" s="223">
        <v>3</v>
      </c>
      <c r="B477" s="201" t="s">
        <v>70</v>
      </c>
      <c r="C477" s="224">
        <v>0.1</v>
      </c>
      <c r="D477" s="225">
        <f>D475*C477</f>
        <v>37400</v>
      </c>
      <c r="E477" s="177"/>
      <c r="F477" s="178"/>
    </row>
    <row r="478" spans="1:6" ht="18.75" x14ac:dyDescent="0.2">
      <c r="A478" s="223">
        <v>4</v>
      </c>
      <c r="B478" s="201" t="s">
        <v>11</v>
      </c>
      <c r="C478" s="224">
        <v>0.04</v>
      </c>
      <c r="D478" s="225">
        <f>D475*C478</f>
        <v>14960</v>
      </c>
      <c r="E478" s="177"/>
      <c r="F478" s="178"/>
    </row>
    <row r="479" spans="1:6" ht="18.75" x14ac:dyDescent="0.2">
      <c r="A479" s="223">
        <v>5</v>
      </c>
      <c r="B479" s="201" t="s">
        <v>307</v>
      </c>
      <c r="C479" s="224">
        <v>3.5000000000000003E-2</v>
      </c>
      <c r="D479" s="225">
        <f>D475*C479</f>
        <v>13090.000000000002</v>
      </c>
      <c r="E479" s="177"/>
      <c r="F479" s="178"/>
    </row>
    <row r="480" spans="1:6" ht="18.75" x14ac:dyDescent="0.2">
      <c r="A480" s="223">
        <v>6</v>
      </c>
      <c r="B480" s="208" t="s">
        <v>132</v>
      </c>
      <c r="C480" s="224">
        <v>0.12</v>
      </c>
      <c r="D480" s="225">
        <f>D475*C480</f>
        <v>44880</v>
      </c>
      <c r="E480" s="177"/>
      <c r="F480" s="178"/>
    </row>
    <row r="481" spans="1:6" x14ac:dyDescent="0.2">
      <c r="A481" s="173"/>
      <c r="B481" s="185" t="s">
        <v>308</v>
      </c>
      <c r="C481" s="195">
        <f>D481/D475</f>
        <v>0.40500000000000003</v>
      </c>
      <c r="D481" s="213">
        <f>D475-SUM(D476:D480)</f>
        <v>151470</v>
      </c>
      <c r="E481" s="187"/>
      <c r="F481" s="177"/>
    </row>
    <row r="482" spans="1:6" x14ac:dyDescent="0.2">
      <c r="A482" s="173"/>
      <c r="B482" s="185" t="s">
        <v>309</v>
      </c>
      <c r="C482" s="196">
        <f>D482/D475</f>
        <v>0.52500000000000002</v>
      </c>
      <c r="D482" s="226">
        <f>D480+D481</f>
        <v>196350</v>
      </c>
      <c r="E482" s="187"/>
      <c r="F482" s="177"/>
    </row>
    <row r="483" spans="1:6" ht="18" x14ac:dyDescent="0.2">
      <c r="A483" s="190" t="s">
        <v>247</v>
      </c>
      <c r="B483" s="190" t="s">
        <v>247</v>
      </c>
      <c r="C483" s="190" t="s">
        <v>247</v>
      </c>
      <c r="D483" s="190" t="s">
        <v>247</v>
      </c>
      <c r="E483" s="191" t="s">
        <v>247</v>
      </c>
      <c r="F483" s="190" t="s">
        <v>247</v>
      </c>
    </row>
    <row r="484" spans="1:6" ht="67.5" customHeight="1" x14ac:dyDescent="0.2">
      <c r="A484" s="802" t="s">
        <v>310</v>
      </c>
      <c r="B484" s="802"/>
      <c r="C484" s="802"/>
      <c r="D484" s="802"/>
      <c r="E484" s="802"/>
      <c r="F484" s="802"/>
    </row>
    <row r="485" spans="1:6" ht="18.75" x14ac:dyDescent="0.2">
      <c r="A485" s="223">
        <v>1</v>
      </c>
      <c r="B485" s="201" t="s">
        <v>7</v>
      </c>
      <c r="C485" s="175"/>
      <c r="D485" s="803">
        <v>388000</v>
      </c>
      <c r="E485" s="803"/>
      <c r="F485" s="803"/>
    </row>
    <row r="486" spans="1:6" ht="18.75" x14ac:dyDescent="0.2">
      <c r="A486" s="223">
        <v>2</v>
      </c>
      <c r="B486" s="201" t="s">
        <v>306</v>
      </c>
      <c r="C486" s="224">
        <v>0.3</v>
      </c>
      <c r="D486" s="225">
        <f>C486*D485</f>
        <v>116400</v>
      </c>
      <c r="E486" s="192"/>
      <c r="F486" s="192"/>
    </row>
    <row r="487" spans="1:6" ht="18.75" x14ac:dyDescent="0.2">
      <c r="A487" s="223">
        <v>3</v>
      </c>
      <c r="B487" s="201" t="s">
        <v>70</v>
      </c>
      <c r="C487" s="224">
        <v>0.1</v>
      </c>
      <c r="D487" s="225">
        <f>D485*C487</f>
        <v>38800</v>
      </c>
      <c r="E487" s="177"/>
      <c r="F487" s="178"/>
    </row>
    <row r="488" spans="1:6" ht="18.75" x14ac:dyDescent="0.2">
      <c r="A488" s="223">
        <v>4</v>
      </c>
      <c r="B488" s="201" t="s">
        <v>11</v>
      </c>
      <c r="C488" s="224">
        <v>0.04</v>
      </c>
      <c r="D488" s="225">
        <f>C488*D485</f>
        <v>15520</v>
      </c>
      <c r="E488" s="177"/>
      <c r="F488" s="178"/>
    </row>
    <row r="489" spans="1:6" ht="18.75" x14ac:dyDescent="0.2">
      <c r="A489" s="223">
        <v>5</v>
      </c>
      <c r="B489" s="201" t="s">
        <v>307</v>
      </c>
      <c r="C489" s="224">
        <v>3.5000000000000003E-2</v>
      </c>
      <c r="D489" s="225">
        <f>C489*D485</f>
        <v>13580.000000000002</v>
      </c>
      <c r="E489" s="177"/>
      <c r="F489" s="178"/>
    </row>
    <row r="490" spans="1:6" ht="18.75" x14ac:dyDescent="0.2">
      <c r="A490" s="223">
        <v>6</v>
      </c>
      <c r="B490" s="208" t="s">
        <v>132</v>
      </c>
      <c r="C490" s="224">
        <v>0.12</v>
      </c>
      <c r="D490" s="225">
        <f>C490*D485</f>
        <v>46560</v>
      </c>
      <c r="E490" s="177"/>
      <c r="F490" s="178"/>
    </row>
    <row r="491" spans="1:6" ht="18.75" x14ac:dyDescent="0.2">
      <c r="A491" s="173"/>
      <c r="B491" s="185" t="s">
        <v>284</v>
      </c>
      <c r="C491" s="195">
        <f>D491/D485</f>
        <v>0.40500000000000003</v>
      </c>
      <c r="D491" s="225">
        <f>D485-SUM(D486:D490)</f>
        <v>157140</v>
      </c>
      <c r="E491" s="187"/>
      <c r="F491" s="177"/>
    </row>
    <row r="492" spans="1:6" x14ac:dyDescent="0.2">
      <c r="A492" s="173"/>
      <c r="B492" s="185" t="s">
        <v>309</v>
      </c>
      <c r="C492" s="196">
        <f>D492/D485</f>
        <v>0.52500000000000002</v>
      </c>
      <c r="D492" s="226">
        <f>D490+D491</f>
        <v>203700</v>
      </c>
      <c r="E492" s="187"/>
      <c r="F492" s="177"/>
    </row>
    <row r="493" spans="1:6" ht="18" x14ac:dyDescent="0.2">
      <c r="A493" s="190" t="s">
        <v>247</v>
      </c>
      <c r="B493" s="190" t="s">
        <v>247</v>
      </c>
      <c r="C493" s="190" t="s">
        <v>247</v>
      </c>
      <c r="D493" s="190" t="s">
        <v>247</v>
      </c>
      <c r="E493" s="191" t="s">
        <v>247</v>
      </c>
      <c r="F493" s="190" t="s">
        <v>247</v>
      </c>
    </row>
    <row r="494" spans="1:6" ht="67.5" customHeight="1" x14ac:dyDescent="0.2">
      <c r="A494" s="802" t="s">
        <v>311</v>
      </c>
      <c r="B494" s="802"/>
      <c r="C494" s="802"/>
      <c r="D494" s="802"/>
      <c r="E494" s="802"/>
      <c r="F494" s="802"/>
    </row>
    <row r="495" spans="1:6" ht="18.75" x14ac:dyDescent="0.2">
      <c r="A495" s="223">
        <v>1</v>
      </c>
      <c r="B495" s="201" t="s">
        <v>7</v>
      </c>
      <c r="C495" s="175"/>
      <c r="D495" s="803">
        <v>1716899.04</v>
      </c>
      <c r="E495" s="803"/>
      <c r="F495" s="803"/>
    </row>
    <row r="496" spans="1:6" ht="18.75" x14ac:dyDescent="0.2">
      <c r="A496" s="223">
        <v>2</v>
      </c>
      <c r="B496" s="201" t="s">
        <v>312</v>
      </c>
      <c r="C496" s="224">
        <v>0.05</v>
      </c>
      <c r="D496" s="225">
        <f>C496*D495</f>
        <v>85844.952000000005</v>
      </c>
      <c r="E496" s="192"/>
      <c r="F496" s="192"/>
    </row>
    <row r="497" spans="1:10" ht="18.75" x14ac:dyDescent="0.2">
      <c r="A497" s="223">
        <v>3</v>
      </c>
      <c r="B497" s="201" t="s">
        <v>70</v>
      </c>
      <c r="C497" s="224">
        <v>0.1</v>
      </c>
      <c r="D497" s="225">
        <f>D495*C497</f>
        <v>171689.90400000001</v>
      </c>
      <c r="E497" s="177"/>
      <c r="F497" s="178"/>
    </row>
    <row r="498" spans="1:10" ht="18.75" x14ac:dyDescent="0.2">
      <c r="A498" s="223">
        <v>4</v>
      </c>
      <c r="B498" s="201" t="s">
        <v>313</v>
      </c>
      <c r="C498" s="224">
        <v>0.1</v>
      </c>
      <c r="D498" s="225">
        <f>D495*C498</f>
        <v>171689.90400000001</v>
      </c>
      <c r="E498" s="177"/>
      <c r="F498" s="178"/>
    </row>
    <row r="499" spans="1:10" ht="18.75" x14ac:dyDescent="0.2">
      <c r="A499" s="223">
        <v>5</v>
      </c>
      <c r="B499" s="201" t="s">
        <v>11</v>
      </c>
      <c r="C499" s="224">
        <v>0.04</v>
      </c>
      <c r="D499" s="225">
        <f>C499*D495</f>
        <v>68675.96160000001</v>
      </c>
      <c r="E499" s="177"/>
      <c r="F499" s="178"/>
    </row>
    <row r="500" spans="1:10" ht="18.75" x14ac:dyDescent="0.2">
      <c r="A500" s="223">
        <v>6</v>
      </c>
      <c r="B500" s="201" t="s">
        <v>307</v>
      </c>
      <c r="C500" s="224">
        <v>3.5000000000000003E-2</v>
      </c>
      <c r="D500" s="225">
        <f>C500*D495</f>
        <v>60091.466400000005</v>
      </c>
      <c r="E500" s="177"/>
      <c r="F500" s="178"/>
    </row>
    <row r="501" spans="1:10" ht="18.75" x14ac:dyDescent="0.2">
      <c r="A501" s="223">
        <v>7</v>
      </c>
      <c r="B501" s="208" t="s">
        <v>132</v>
      </c>
      <c r="C501" s="224">
        <v>0.12</v>
      </c>
      <c r="D501" s="225">
        <f>C501*D495</f>
        <v>206027.8848</v>
      </c>
      <c r="E501" s="177"/>
      <c r="F501" s="178"/>
    </row>
    <row r="502" spans="1:10" x14ac:dyDescent="0.2">
      <c r="A502" s="173"/>
      <c r="B502" s="185" t="s">
        <v>284</v>
      </c>
      <c r="C502" s="195">
        <f>D502/D495</f>
        <v>0.55499999999999994</v>
      </c>
      <c r="D502" s="187">
        <f>D495-SUM(D496:D501)</f>
        <v>952878.96719999996</v>
      </c>
      <c r="E502" s="187"/>
      <c r="F502" s="177"/>
    </row>
    <row r="503" spans="1:10" x14ac:dyDescent="0.2">
      <c r="A503" s="173"/>
      <c r="B503" s="185" t="s">
        <v>309</v>
      </c>
      <c r="C503" s="196">
        <f>D503/D495</f>
        <v>0.67499999999999993</v>
      </c>
      <c r="D503" s="226">
        <f>D501+D502</f>
        <v>1158906.852</v>
      </c>
      <c r="E503" s="187"/>
      <c r="F503" s="177"/>
    </row>
    <row r="504" spans="1:10" ht="18" x14ac:dyDescent="0.2">
      <c r="A504" s="190" t="s">
        <v>247</v>
      </c>
      <c r="B504" s="190" t="s">
        <v>247</v>
      </c>
      <c r="C504" s="190" t="s">
        <v>247</v>
      </c>
      <c r="D504" s="190" t="s">
        <v>247</v>
      </c>
      <c r="E504" s="191" t="s">
        <v>247</v>
      </c>
      <c r="F504" s="190" t="s">
        <v>247</v>
      </c>
    </row>
    <row r="505" spans="1:10" ht="74.25" customHeight="1" x14ac:dyDescent="0.2">
      <c r="A505" s="802" t="s">
        <v>314</v>
      </c>
      <c r="B505" s="802"/>
      <c r="C505" s="802"/>
      <c r="D505" s="802"/>
      <c r="E505" s="802"/>
      <c r="F505" s="802"/>
      <c r="J505" s="1" t="s">
        <v>315</v>
      </c>
    </row>
    <row r="506" spans="1:10" ht="18.75" x14ac:dyDescent="0.2">
      <c r="A506" s="223">
        <v>1</v>
      </c>
      <c r="B506" s="201" t="s">
        <v>7</v>
      </c>
      <c r="C506" s="175"/>
      <c r="D506" s="803">
        <v>781355.89</v>
      </c>
      <c r="E506" s="803"/>
      <c r="F506" s="803"/>
    </row>
    <row r="507" spans="1:10" ht="18.75" x14ac:dyDescent="0.2">
      <c r="A507" s="223">
        <v>2</v>
      </c>
      <c r="B507" s="201" t="s">
        <v>312</v>
      </c>
      <c r="C507" s="224">
        <v>0.05</v>
      </c>
      <c r="D507" s="176">
        <f>C507*D506</f>
        <v>39067.794500000004</v>
      </c>
      <c r="E507" s="192"/>
      <c r="F507" s="192"/>
    </row>
    <row r="508" spans="1:10" ht="18.75" x14ac:dyDescent="0.2">
      <c r="A508" s="223">
        <v>3</v>
      </c>
      <c r="B508" s="201" t="s">
        <v>70</v>
      </c>
      <c r="C508" s="224">
        <v>0.1</v>
      </c>
      <c r="D508" s="176">
        <f>D506*C508</f>
        <v>78135.589000000007</v>
      </c>
      <c r="E508" s="177"/>
      <c r="F508" s="178"/>
    </row>
    <row r="509" spans="1:10" ht="18.75" x14ac:dyDescent="0.2">
      <c r="A509" s="223">
        <v>4</v>
      </c>
      <c r="B509" s="201" t="s">
        <v>313</v>
      </c>
      <c r="C509" s="224">
        <v>0.1</v>
      </c>
      <c r="D509" s="176">
        <f>D506*C509</f>
        <v>78135.589000000007</v>
      </c>
      <c r="E509" s="177"/>
      <c r="F509" s="178"/>
    </row>
    <row r="510" spans="1:10" ht="18.75" x14ac:dyDescent="0.2">
      <c r="A510" s="223">
        <v>5</v>
      </c>
      <c r="B510" s="201" t="s">
        <v>11</v>
      </c>
      <c r="C510" s="224">
        <v>0.04</v>
      </c>
      <c r="D510" s="176">
        <f>C510*D506</f>
        <v>31254.2356</v>
      </c>
      <c r="E510" s="177"/>
      <c r="F510" s="178"/>
    </row>
    <row r="511" spans="1:10" ht="18.75" x14ac:dyDescent="0.2">
      <c r="A511" s="223">
        <v>6</v>
      </c>
      <c r="B511" s="201" t="s">
        <v>307</v>
      </c>
      <c r="C511" s="224">
        <v>3.5000000000000003E-2</v>
      </c>
      <c r="D511" s="176">
        <f>C511*D506</f>
        <v>27347.456150000002</v>
      </c>
      <c r="E511" s="177"/>
      <c r="F511" s="178"/>
    </row>
    <row r="512" spans="1:10" ht="18.75" x14ac:dyDescent="0.2">
      <c r="A512" s="223">
        <v>7</v>
      </c>
      <c r="B512" s="208" t="s">
        <v>132</v>
      </c>
      <c r="C512" s="224">
        <v>0.12</v>
      </c>
      <c r="D512" s="176">
        <f>C512*D506</f>
        <v>93762.7068</v>
      </c>
      <c r="E512" s="177"/>
      <c r="F512" s="178"/>
    </row>
    <row r="513" spans="1:6" ht="18.75" x14ac:dyDescent="0.2">
      <c r="A513" s="173"/>
      <c r="B513" s="185" t="s">
        <v>284</v>
      </c>
      <c r="C513" s="224">
        <f>D513/D506</f>
        <v>0.55499999999999994</v>
      </c>
      <c r="D513" s="176">
        <f>D506-SUM(D507:D512)</f>
        <v>433652.51894999994</v>
      </c>
      <c r="E513" s="177"/>
      <c r="F513" s="178"/>
    </row>
    <row r="514" spans="1:6" ht="18.75" x14ac:dyDescent="0.2">
      <c r="A514" s="173"/>
      <c r="B514" s="185" t="s">
        <v>309</v>
      </c>
      <c r="C514" s="224">
        <f>D514/D506</f>
        <v>0.67499999999999993</v>
      </c>
      <c r="D514" s="227">
        <f>D512+D513</f>
        <v>527415.22574999998</v>
      </c>
      <c r="E514" s="177"/>
      <c r="F514" s="178"/>
    </row>
    <row r="515" spans="1:6" ht="18" x14ac:dyDescent="0.2">
      <c r="A515" s="190" t="s">
        <v>247</v>
      </c>
      <c r="B515" s="190" t="s">
        <v>247</v>
      </c>
      <c r="C515" s="190" t="s">
        <v>247</v>
      </c>
      <c r="D515" s="190" t="s">
        <v>247</v>
      </c>
      <c r="E515" s="191" t="s">
        <v>247</v>
      </c>
      <c r="F515" s="190" t="s">
        <v>247</v>
      </c>
    </row>
    <row r="516" spans="1:6" ht="58.5" customHeight="1" x14ac:dyDescent="0.2">
      <c r="A516" s="802" t="s">
        <v>316</v>
      </c>
      <c r="B516" s="802"/>
      <c r="C516" s="802"/>
      <c r="D516" s="802"/>
      <c r="E516" s="802"/>
      <c r="F516" s="802"/>
    </row>
    <row r="517" spans="1:6" ht="18.75" x14ac:dyDescent="0.2">
      <c r="A517" s="223">
        <v>1</v>
      </c>
      <c r="B517" s="201" t="s">
        <v>7</v>
      </c>
      <c r="C517" s="175"/>
      <c r="D517" s="803">
        <v>1087252.97</v>
      </c>
      <c r="E517" s="803"/>
      <c r="F517" s="803"/>
    </row>
    <row r="518" spans="1:6" ht="18.75" x14ac:dyDescent="0.2">
      <c r="A518" s="223">
        <v>2</v>
      </c>
      <c r="B518" s="201" t="s">
        <v>317</v>
      </c>
      <c r="C518" s="224">
        <v>0.5</v>
      </c>
      <c r="D518" s="176">
        <f>C518*D517</f>
        <v>543626.48499999999</v>
      </c>
      <c r="E518" s="192"/>
      <c r="F518" s="192"/>
    </row>
    <row r="519" spans="1:6" ht="18.75" x14ac:dyDescent="0.2">
      <c r="A519" s="223">
        <v>3</v>
      </c>
      <c r="B519" s="201" t="s">
        <v>70</v>
      </c>
      <c r="C519" s="224">
        <v>0.1</v>
      </c>
      <c r="D519" s="176">
        <f>D518*C519</f>
        <v>54362.648500000003</v>
      </c>
      <c r="E519" s="177"/>
      <c r="F519" s="178" t="s">
        <v>131</v>
      </c>
    </row>
    <row r="520" spans="1:6" ht="18.75" x14ac:dyDescent="0.2">
      <c r="A520" s="223">
        <v>4</v>
      </c>
      <c r="B520" s="201" t="s">
        <v>11</v>
      </c>
      <c r="C520" s="224">
        <v>0.03</v>
      </c>
      <c r="D520" s="176">
        <f>C520*D518</f>
        <v>16308.794549999999</v>
      </c>
      <c r="E520" s="177"/>
      <c r="F520" s="178"/>
    </row>
    <row r="521" spans="1:6" ht="18.75" customHeight="1" x14ac:dyDescent="0.2">
      <c r="A521" s="223">
        <v>5</v>
      </c>
      <c r="B521" s="201" t="s">
        <v>267</v>
      </c>
      <c r="C521" s="224">
        <v>0.12</v>
      </c>
      <c r="D521" s="176">
        <f>C521*D518</f>
        <v>65235.178199999995</v>
      </c>
      <c r="E521" s="177"/>
      <c r="F521" s="178" t="s">
        <v>123</v>
      </c>
    </row>
    <row r="522" spans="1:6" ht="47.25" x14ac:dyDescent="0.2">
      <c r="A522" s="223">
        <v>6</v>
      </c>
      <c r="B522" s="201" t="s">
        <v>256</v>
      </c>
      <c r="C522" s="224">
        <v>0.1</v>
      </c>
      <c r="D522" s="176">
        <f>C522*D518</f>
        <v>54362.648500000003</v>
      </c>
      <c r="E522" s="177"/>
      <c r="F522" s="178" t="s">
        <v>318</v>
      </c>
    </row>
    <row r="523" spans="1:6" ht="18.75" x14ac:dyDescent="0.2">
      <c r="A523" s="223">
        <v>7</v>
      </c>
      <c r="B523" s="201" t="s">
        <v>319</v>
      </c>
      <c r="C523" s="224">
        <v>0.1</v>
      </c>
      <c r="D523" s="176">
        <f>C523*D518</f>
        <v>54362.648500000003</v>
      </c>
      <c r="E523" s="177"/>
      <c r="F523" s="178" t="s">
        <v>320</v>
      </c>
    </row>
    <row r="524" spans="1:6" ht="18.75" x14ac:dyDescent="0.2">
      <c r="A524" s="223">
        <v>8</v>
      </c>
      <c r="B524" s="201" t="s">
        <v>294</v>
      </c>
      <c r="C524" s="224">
        <v>0.01</v>
      </c>
      <c r="D524" s="176">
        <f>C524*D518</f>
        <v>5436.2648499999996</v>
      </c>
      <c r="E524" s="177"/>
      <c r="F524" s="178" t="s">
        <v>321</v>
      </c>
    </row>
    <row r="525" spans="1:6" ht="18.75" x14ac:dyDescent="0.2">
      <c r="A525" s="223">
        <v>9</v>
      </c>
      <c r="B525" s="201" t="s">
        <v>322</v>
      </c>
      <c r="C525" s="224">
        <v>0.01</v>
      </c>
      <c r="D525" s="176">
        <f>C525*D518</f>
        <v>5436.2648499999996</v>
      </c>
      <c r="E525" s="177"/>
      <c r="F525" s="178" t="s">
        <v>321</v>
      </c>
    </row>
    <row r="526" spans="1:6" ht="18.75" x14ac:dyDescent="0.2">
      <c r="A526" s="223">
        <v>10</v>
      </c>
      <c r="B526" s="201" t="s">
        <v>323</v>
      </c>
      <c r="C526" s="224">
        <v>0.06</v>
      </c>
      <c r="D526" s="176">
        <f>C526*D518</f>
        <v>32617.589099999997</v>
      </c>
      <c r="E526" s="177"/>
      <c r="F526" s="178" t="s">
        <v>324</v>
      </c>
    </row>
    <row r="527" spans="1:6" ht="18.75" x14ac:dyDescent="0.2">
      <c r="A527" s="223">
        <v>11</v>
      </c>
      <c r="B527" s="201" t="s">
        <v>325</v>
      </c>
      <c r="C527" s="224">
        <v>0.06</v>
      </c>
      <c r="D527" s="176">
        <f>C527*D518</f>
        <v>32617.589099999997</v>
      </c>
      <c r="E527" s="177"/>
      <c r="F527" s="178" t="s">
        <v>326</v>
      </c>
    </row>
    <row r="528" spans="1:6" ht="18.75" x14ac:dyDescent="0.2">
      <c r="A528" s="223">
        <v>12</v>
      </c>
      <c r="B528" s="201" t="s">
        <v>327</v>
      </c>
      <c r="C528" s="224">
        <v>0.02</v>
      </c>
      <c r="D528" s="176">
        <f>C528*D518</f>
        <v>10872.529699999999</v>
      </c>
      <c r="E528" s="177"/>
      <c r="F528" s="178" t="s">
        <v>328</v>
      </c>
    </row>
    <row r="529" spans="1:6" ht="18.75" x14ac:dyDescent="0.2">
      <c r="A529" s="223">
        <v>13</v>
      </c>
      <c r="B529" s="201" t="s">
        <v>299</v>
      </c>
      <c r="C529" s="224">
        <v>7.0000000000000007E-2</v>
      </c>
      <c r="D529" s="176">
        <f>C529*D518</f>
        <v>38053.853950000004</v>
      </c>
      <c r="E529" s="177"/>
      <c r="F529" s="178" t="s">
        <v>329</v>
      </c>
    </row>
    <row r="530" spans="1:6" ht="18.75" x14ac:dyDescent="0.2">
      <c r="A530" s="223">
        <v>14</v>
      </c>
      <c r="B530" s="201" t="s">
        <v>261</v>
      </c>
      <c r="C530" s="224">
        <v>0.01</v>
      </c>
      <c r="D530" s="176">
        <f>C530*D518</f>
        <v>5436.2648499999996</v>
      </c>
      <c r="E530" s="177"/>
      <c r="F530" s="178" t="s">
        <v>328</v>
      </c>
    </row>
    <row r="531" spans="1:6" ht="18.75" x14ac:dyDescent="0.2">
      <c r="A531" s="223">
        <v>15</v>
      </c>
      <c r="B531" s="208" t="s">
        <v>132</v>
      </c>
      <c r="C531" s="224">
        <v>0.08</v>
      </c>
      <c r="D531" s="176">
        <f>C531*D518</f>
        <v>43490.118799999997</v>
      </c>
      <c r="E531" s="177"/>
      <c r="F531" s="178"/>
    </row>
    <row r="532" spans="1:6" ht="21" x14ac:dyDescent="0.2">
      <c r="A532" s="228"/>
      <c r="B532" s="229" t="s">
        <v>330</v>
      </c>
      <c r="C532" s="230">
        <f>SUM(C519:C531)</f>
        <v>0.77000000000000013</v>
      </c>
      <c r="D532" s="231">
        <f>SUM(D519:D531)</f>
        <v>418592.39345000003</v>
      </c>
      <c r="E532" s="177"/>
      <c r="F532" s="178"/>
    </row>
    <row r="533" spans="1:6" ht="21" x14ac:dyDescent="0.2">
      <c r="A533" s="228"/>
      <c r="B533" s="229" t="s">
        <v>23</v>
      </c>
      <c r="C533" s="230"/>
      <c r="D533" s="231">
        <f>D517-D532</f>
        <v>668660.57654999988</v>
      </c>
      <c r="E533" s="177"/>
      <c r="F533" s="178"/>
    </row>
    <row r="534" spans="1:6" ht="21" x14ac:dyDescent="0.2">
      <c r="A534" s="173"/>
      <c r="B534" s="232" t="s">
        <v>331</v>
      </c>
      <c r="C534" s="233">
        <f>D534/D517</f>
        <v>0.53999999999999992</v>
      </c>
      <c r="D534" s="234">
        <f>D517-D518+D531</f>
        <v>587116.60379999992</v>
      </c>
      <c r="E534" s="177"/>
      <c r="F534" s="178"/>
    </row>
    <row r="535" spans="1:6" ht="18" x14ac:dyDescent="0.2">
      <c r="A535" s="168" t="s">
        <v>247</v>
      </c>
      <c r="B535" s="168" t="s">
        <v>247</v>
      </c>
      <c r="C535" s="168" t="s">
        <v>247</v>
      </c>
      <c r="D535" s="168" t="s">
        <v>247</v>
      </c>
      <c r="E535" s="169" t="s">
        <v>247</v>
      </c>
      <c r="F535" s="168" t="s">
        <v>247</v>
      </c>
    </row>
    <row r="536" spans="1:6" ht="48" customHeight="1" x14ac:dyDescent="0.2">
      <c r="A536" s="810" t="s">
        <v>332</v>
      </c>
      <c r="B536" s="811"/>
      <c r="C536" s="811"/>
      <c r="D536" s="811"/>
      <c r="E536" s="811"/>
      <c r="F536" s="812"/>
    </row>
    <row r="537" spans="1:6" x14ac:dyDescent="0.2">
      <c r="A537" s="235" t="s">
        <v>247</v>
      </c>
      <c r="B537" s="236" t="s">
        <v>333</v>
      </c>
      <c r="C537" s="237" t="s">
        <v>247</v>
      </c>
      <c r="D537" s="238">
        <v>250000</v>
      </c>
      <c r="E537" s="239"/>
      <c r="F537" s="240" t="s">
        <v>247</v>
      </c>
    </row>
    <row r="538" spans="1:6" ht="31.5" x14ac:dyDescent="0.2">
      <c r="A538" s="241">
        <v>1</v>
      </c>
      <c r="B538" s="242" t="s">
        <v>334</v>
      </c>
      <c r="C538" s="237" t="s">
        <v>247</v>
      </c>
      <c r="D538" s="240">
        <v>250000</v>
      </c>
      <c r="E538" s="239"/>
      <c r="F538" s="243" t="s">
        <v>247</v>
      </c>
    </row>
    <row r="539" spans="1:6" ht="31.5" x14ac:dyDescent="0.2">
      <c r="A539" s="241">
        <v>2</v>
      </c>
      <c r="B539" s="242" t="s">
        <v>335</v>
      </c>
      <c r="C539" s="244">
        <v>0.5</v>
      </c>
      <c r="D539" s="240">
        <v>125000</v>
      </c>
      <c r="E539" s="239"/>
      <c r="F539" s="243" t="s">
        <v>247</v>
      </c>
    </row>
    <row r="540" spans="1:6" ht="18.75" x14ac:dyDescent="0.2">
      <c r="A540" s="241">
        <v>3</v>
      </c>
      <c r="B540" s="242" t="s">
        <v>336</v>
      </c>
      <c r="C540" s="244">
        <v>0.05</v>
      </c>
      <c r="D540" s="240">
        <v>6250</v>
      </c>
      <c r="E540" s="239"/>
      <c r="F540" s="243" t="s">
        <v>337</v>
      </c>
    </row>
    <row r="541" spans="1:6" ht="18.75" x14ac:dyDescent="0.2">
      <c r="A541" s="241">
        <v>4</v>
      </c>
      <c r="B541" s="245" t="s">
        <v>70</v>
      </c>
      <c r="C541" s="246">
        <v>0.1</v>
      </c>
      <c r="D541" s="240">
        <v>12500</v>
      </c>
      <c r="E541" s="239"/>
      <c r="F541" s="243" t="s">
        <v>131</v>
      </c>
    </row>
    <row r="542" spans="1:6" ht="18.75" x14ac:dyDescent="0.2">
      <c r="A542" s="241">
        <v>5</v>
      </c>
      <c r="B542" s="245" t="s">
        <v>11</v>
      </c>
      <c r="C542" s="246">
        <v>0.03</v>
      </c>
      <c r="D542" s="240">
        <v>3750</v>
      </c>
      <c r="E542" s="239"/>
      <c r="F542" s="243" t="s">
        <v>338</v>
      </c>
    </row>
    <row r="543" spans="1:6" ht="18.75" x14ac:dyDescent="0.2">
      <c r="A543" s="241">
        <v>6</v>
      </c>
      <c r="B543" s="245" t="s">
        <v>339</v>
      </c>
      <c r="C543" s="246">
        <v>0.12</v>
      </c>
      <c r="D543" s="240">
        <v>15000</v>
      </c>
      <c r="E543" s="239"/>
      <c r="F543" s="243" t="s">
        <v>340</v>
      </c>
    </row>
    <row r="544" spans="1:6" ht="18.75" x14ac:dyDescent="0.2">
      <c r="A544" s="241">
        <v>7</v>
      </c>
      <c r="B544" s="245" t="s">
        <v>341</v>
      </c>
      <c r="C544" s="246">
        <v>0.1</v>
      </c>
      <c r="D544" s="240">
        <v>12500</v>
      </c>
      <c r="E544" s="239"/>
      <c r="F544" s="243" t="s">
        <v>342</v>
      </c>
    </row>
    <row r="545" spans="1:9" ht="18.75" x14ac:dyDescent="0.2">
      <c r="A545" s="241">
        <v>8</v>
      </c>
      <c r="B545" s="245" t="s">
        <v>132</v>
      </c>
      <c r="C545" s="246">
        <v>0.05</v>
      </c>
      <c r="D545" s="240">
        <v>6250</v>
      </c>
      <c r="E545" s="239"/>
      <c r="F545" s="243" t="s">
        <v>247</v>
      </c>
    </row>
    <row r="546" spans="1:9" ht="18.75" x14ac:dyDescent="0.2">
      <c r="A546" s="241">
        <v>9</v>
      </c>
      <c r="B546" s="247" t="s">
        <v>343</v>
      </c>
      <c r="C546" s="246">
        <v>0.08</v>
      </c>
      <c r="D546" s="240">
        <v>10000</v>
      </c>
      <c r="E546" s="239"/>
      <c r="F546" s="243" t="s">
        <v>247</v>
      </c>
    </row>
    <row r="547" spans="1:9" ht="31.5" x14ac:dyDescent="0.2">
      <c r="A547" s="241">
        <v>10</v>
      </c>
      <c r="B547" s="248" t="s">
        <v>344</v>
      </c>
      <c r="C547" s="244" t="s">
        <v>247</v>
      </c>
      <c r="D547" s="243">
        <v>66250</v>
      </c>
      <c r="E547" s="239"/>
      <c r="F547" s="243" t="s">
        <v>247</v>
      </c>
    </row>
    <row r="548" spans="1:9" ht="31.5" x14ac:dyDescent="0.2">
      <c r="A548" s="241">
        <v>11</v>
      </c>
      <c r="B548" s="248" t="s">
        <v>345</v>
      </c>
      <c r="C548" s="237">
        <v>0.73499999999999999</v>
      </c>
      <c r="D548" s="243">
        <v>183750</v>
      </c>
      <c r="E548" s="239"/>
      <c r="F548" s="243" t="s">
        <v>247</v>
      </c>
    </row>
    <row r="549" spans="1:9" ht="47.25" x14ac:dyDescent="0.25">
      <c r="A549" s="241">
        <v>12</v>
      </c>
      <c r="B549" s="248" t="s">
        <v>346</v>
      </c>
      <c r="C549" s="237">
        <v>0.78</v>
      </c>
      <c r="D549" s="240">
        <v>193750</v>
      </c>
      <c r="E549" s="239"/>
      <c r="F549" s="249" t="s">
        <v>247</v>
      </c>
    </row>
    <row r="550" spans="1:9" ht="20.25" customHeight="1" x14ac:dyDescent="0.2">
      <c r="A550" s="807" t="s">
        <v>347</v>
      </c>
      <c r="B550" s="808"/>
      <c r="C550" s="808"/>
      <c r="D550" s="808"/>
      <c r="E550" s="808"/>
      <c r="F550" s="809"/>
      <c r="G550" s="250" t="s">
        <v>348</v>
      </c>
      <c r="H550" s="251" t="s">
        <v>349</v>
      </c>
      <c r="I550" s="251" t="s">
        <v>350</v>
      </c>
    </row>
    <row r="551" spans="1:9" ht="57.75" customHeight="1" x14ac:dyDescent="0.2">
      <c r="A551" s="804" t="s">
        <v>351</v>
      </c>
      <c r="B551" s="805"/>
      <c r="C551" s="805"/>
      <c r="D551" s="805"/>
      <c r="E551" s="805"/>
      <c r="F551" s="806"/>
      <c r="G551" s="252">
        <v>0.1</v>
      </c>
      <c r="H551" s="253">
        <f>D552-D552*G551</f>
        <v>4896000</v>
      </c>
      <c r="I551" s="253">
        <f>H551-D573</f>
        <v>2488800</v>
      </c>
    </row>
    <row r="552" spans="1:9" ht="18.75" x14ac:dyDescent="0.2">
      <c r="A552" s="173">
        <v>1</v>
      </c>
      <c r="B552" s="254" t="s">
        <v>352</v>
      </c>
      <c r="C552" s="175"/>
      <c r="D552" s="798">
        <v>5440000</v>
      </c>
      <c r="E552" s="799"/>
      <c r="F552" s="800"/>
      <c r="G552" s="252">
        <v>0.15</v>
      </c>
      <c r="H552" s="253">
        <f>D552-D552*G552</f>
        <v>4624000</v>
      </c>
      <c r="I552" s="253">
        <f>H552-D573</f>
        <v>2216800</v>
      </c>
    </row>
    <row r="553" spans="1:9" ht="18.75" x14ac:dyDescent="0.2">
      <c r="A553" s="173">
        <v>2</v>
      </c>
      <c r="B553" s="254" t="s">
        <v>264</v>
      </c>
      <c r="C553" s="255"/>
      <c r="D553" s="256">
        <v>0</v>
      </c>
      <c r="E553" s="177"/>
      <c r="F553" s="178"/>
      <c r="G553" s="252">
        <v>0.2</v>
      </c>
      <c r="H553" s="253">
        <f>D552-D552*G553</f>
        <v>4352000</v>
      </c>
      <c r="I553" s="253">
        <f>H553-D573</f>
        <v>1944800</v>
      </c>
    </row>
    <row r="554" spans="1:9" ht="18.75" x14ac:dyDescent="0.2">
      <c r="A554" s="173">
        <v>3</v>
      </c>
      <c r="B554" s="254" t="s">
        <v>353</v>
      </c>
      <c r="C554" s="255"/>
      <c r="D554" s="256">
        <v>150000</v>
      </c>
      <c r="E554" s="176"/>
      <c r="F554" s="178"/>
      <c r="G554" s="252">
        <v>0.25</v>
      </c>
      <c r="H554" s="253">
        <f>D552-D552*G554</f>
        <v>4080000</v>
      </c>
      <c r="I554" s="253">
        <f>H554-D573</f>
        <v>1672800</v>
      </c>
    </row>
    <row r="555" spans="1:9" ht="29.25" x14ac:dyDescent="0.2">
      <c r="A555" s="173">
        <v>4</v>
      </c>
      <c r="B555" s="257" t="s">
        <v>354</v>
      </c>
      <c r="C555" s="258">
        <v>0.5</v>
      </c>
      <c r="D555" s="259">
        <f>D552*C555</f>
        <v>2720000</v>
      </c>
      <c r="E555" s="177"/>
      <c r="F555" s="178"/>
      <c r="G555" s="252"/>
      <c r="H555" s="253"/>
      <c r="I555" s="253"/>
    </row>
    <row r="556" spans="1:9" ht="18" x14ac:dyDescent="0.2">
      <c r="A556" s="173"/>
      <c r="B556" s="260" t="s">
        <v>355</v>
      </c>
      <c r="C556" s="258">
        <v>7.0000000000000007E-2</v>
      </c>
      <c r="D556" s="261">
        <f>C556*D555</f>
        <v>190400.00000000003</v>
      </c>
      <c r="E556" s="177"/>
      <c r="F556" s="178"/>
      <c r="G556" s="180"/>
      <c r="H556" s="184"/>
      <c r="I556" s="180"/>
    </row>
    <row r="557" spans="1:9" ht="18" x14ac:dyDescent="0.2">
      <c r="A557" s="173"/>
      <c r="B557" s="260" t="s">
        <v>356</v>
      </c>
      <c r="C557" s="258">
        <v>0.04</v>
      </c>
      <c r="D557" s="261">
        <f>D555*C557</f>
        <v>108800</v>
      </c>
      <c r="E557" s="178"/>
      <c r="F557" s="178"/>
      <c r="G557" s="180"/>
      <c r="H557" s="184"/>
      <c r="I557" s="180"/>
    </row>
    <row r="558" spans="1:9" ht="18" x14ac:dyDescent="0.2">
      <c r="A558" s="173">
        <v>5</v>
      </c>
      <c r="B558" s="260" t="s">
        <v>357</v>
      </c>
      <c r="C558" s="258">
        <v>7.0000000000000007E-2</v>
      </c>
      <c r="D558" s="261">
        <f>D555*C558</f>
        <v>190400.00000000003</v>
      </c>
      <c r="E558" s="177"/>
      <c r="F558" s="178"/>
      <c r="G558" s="180"/>
      <c r="H558" s="184"/>
      <c r="I558" s="180"/>
    </row>
    <row r="559" spans="1:9" ht="18" x14ac:dyDescent="0.2">
      <c r="A559" s="173">
        <v>6</v>
      </c>
      <c r="B559" s="260" t="s">
        <v>358</v>
      </c>
      <c r="C559" s="258">
        <v>0.05</v>
      </c>
      <c r="D559" s="261">
        <f>C559*D555</f>
        <v>136000</v>
      </c>
      <c r="E559" s="177"/>
      <c r="F559" s="178"/>
      <c r="G559" s="180"/>
      <c r="H559" s="184"/>
      <c r="I559" s="180"/>
    </row>
    <row r="560" spans="1:9" ht="18" x14ac:dyDescent="0.2">
      <c r="A560" s="173">
        <v>7</v>
      </c>
      <c r="B560" s="260" t="s">
        <v>290</v>
      </c>
      <c r="C560" s="258">
        <v>0.05</v>
      </c>
      <c r="D560" s="261">
        <f>C560*D555</f>
        <v>136000</v>
      </c>
      <c r="E560" s="177"/>
      <c r="F560" s="178" t="s">
        <v>359</v>
      </c>
      <c r="G560" s="180"/>
      <c r="H560" s="184"/>
      <c r="I560" s="180"/>
    </row>
    <row r="561" spans="1:9" ht="18" x14ac:dyDescent="0.2">
      <c r="A561" s="173">
        <v>8</v>
      </c>
      <c r="B561" s="260" t="s">
        <v>360</v>
      </c>
      <c r="C561" s="258">
        <v>7.0000000000000007E-2</v>
      </c>
      <c r="D561" s="261">
        <f>C561*D555</f>
        <v>190400.00000000003</v>
      </c>
      <c r="E561" s="177"/>
      <c r="F561" s="178" t="s">
        <v>359</v>
      </c>
      <c r="G561" s="262"/>
      <c r="H561" s="184"/>
      <c r="I561" s="180"/>
    </row>
    <row r="562" spans="1:9" ht="18" x14ac:dyDescent="0.2">
      <c r="A562" s="173">
        <v>9</v>
      </c>
      <c r="B562" s="260" t="s">
        <v>361</v>
      </c>
      <c r="C562" s="258">
        <v>0.1</v>
      </c>
      <c r="D562" s="261">
        <f>C562*D555</f>
        <v>272000</v>
      </c>
      <c r="E562" s="177"/>
      <c r="F562" s="178" t="s">
        <v>362</v>
      </c>
      <c r="G562" s="262" t="s">
        <v>363</v>
      </c>
      <c r="H562" s="184"/>
      <c r="I562" s="180"/>
    </row>
    <row r="563" spans="1:9" ht="18" x14ac:dyDescent="0.2">
      <c r="A563" s="173">
        <v>10</v>
      </c>
      <c r="B563" s="260" t="s">
        <v>364</v>
      </c>
      <c r="C563" s="258">
        <v>0.04</v>
      </c>
      <c r="D563" s="261">
        <f>C563*D555</f>
        <v>108800</v>
      </c>
      <c r="E563" s="177"/>
      <c r="F563" s="178" t="s">
        <v>365</v>
      </c>
      <c r="G563" s="180"/>
      <c r="H563" s="184"/>
      <c r="I563" s="180"/>
    </row>
    <row r="564" spans="1:9" ht="18" x14ac:dyDescent="0.2">
      <c r="A564" s="173">
        <v>11</v>
      </c>
      <c r="B564" s="254" t="s">
        <v>366</v>
      </c>
      <c r="C564" s="263">
        <v>0.06</v>
      </c>
      <c r="D564" s="256">
        <f>D555*C564</f>
        <v>163200</v>
      </c>
      <c r="E564" s="176"/>
      <c r="F564" s="178" t="s">
        <v>367</v>
      </c>
      <c r="G564" s="180"/>
      <c r="H564" s="184"/>
      <c r="I564" s="180"/>
    </row>
    <row r="565" spans="1:9" ht="18" x14ac:dyDescent="0.2">
      <c r="A565" s="173">
        <v>12</v>
      </c>
      <c r="B565" s="254" t="s">
        <v>368</v>
      </c>
      <c r="C565" s="263">
        <v>0.04</v>
      </c>
      <c r="D565" s="256">
        <f>D555*C565</f>
        <v>108800</v>
      </c>
      <c r="E565" s="177"/>
      <c r="F565" s="178" t="s">
        <v>367</v>
      </c>
      <c r="G565" s="180"/>
      <c r="H565" s="184"/>
      <c r="I565" s="180"/>
    </row>
    <row r="566" spans="1:9" ht="18" x14ac:dyDescent="0.2">
      <c r="A566" s="173">
        <v>13</v>
      </c>
      <c r="B566" s="254" t="s">
        <v>369</v>
      </c>
      <c r="C566" s="263">
        <v>0.05</v>
      </c>
      <c r="D566" s="256">
        <f>C566*D555</f>
        <v>136000</v>
      </c>
      <c r="E566" s="177"/>
      <c r="F566" s="178" t="s">
        <v>370</v>
      </c>
      <c r="G566" s="180"/>
      <c r="H566" s="184"/>
      <c r="I566" s="180"/>
    </row>
    <row r="567" spans="1:9" ht="18" x14ac:dyDescent="0.2">
      <c r="A567" s="173">
        <v>14</v>
      </c>
      <c r="B567" s="254" t="s">
        <v>260</v>
      </c>
      <c r="C567" s="263">
        <v>3.5000000000000003E-2</v>
      </c>
      <c r="D567" s="256">
        <f>C567*D555</f>
        <v>95200.000000000015</v>
      </c>
      <c r="E567" s="177"/>
      <c r="F567" s="178" t="s">
        <v>371</v>
      </c>
      <c r="G567" s="180"/>
      <c r="H567" s="184"/>
      <c r="I567" s="180"/>
    </row>
    <row r="568" spans="1:9" ht="18" x14ac:dyDescent="0.2">
      <c r="A568" s="173">
        <v>15</v>
      </c>
      <c r="B568" s="254" t="s">
        <v>272</v>
      </c>
      <c r="C568" s="263">
        <v>3.5000000000000003E-2</v>
      </c>
      <c r="D568" s="256">
        <f>C568*D555</f>
        <v>95200.000000000015</v>
      </c>
      <c r="E568" s="177"/>
      <c r="F568" s="178"/>
      <c r="G568" s="180"/>
      <c r="H568" s="184"/>
      <c r="I568" s="180"/>
    </row>
    <row r="569" spans="1:9" ht="18" x14ac:dyDescent="0.2">
      <c r="A569" s="173">
        <v>16</v>
      </c>
      <c r="B569" s="254" t="s">
        <v>273</v>
      </c>
      <c r="C569" s="263">
        <v>2.5000000000000001E-2</v>
      </c>
      <c r="D569" s="256">
        <f>C569*D555</f>
        <v>68000</v>
      </c>
      <c r="E569" s="176"/>
      <c r="F569" s="178" t="s">
        <v>372</v>
      </c>
      <c r="G569" s="180"/>
      <c r="H569" s="184"/>
      <c r="I569" s="180"/>
    </row>
    <row r="570" spans="1:9" ht="18" x14ac:dyDescent="0.2">
      <c r="A570" s="173">
        <v>17</v>
      </c>
      <c r="B570" s="254" t="s">
        <v>261</v>
      </c>
      <c r="C570" s="263">
        <v>0.04</v>
      </c>
      <c r="D570" s="256">
        <f>C570*D555</f>
        <v>108800</v>
      </c>
      <c r="E570" s="177"/>
      <c r="F570" s="178" t="s">
        <v>373</v>
      </c>
      <c r="G570" s="180"/>
      <c r="H570" s="184"/>
      <c r="I570" s="180"/>
    </row>
    <row r="571" spans="1:9" ht="18" x14ac:dyDescent="0.2">
      <c r="A571" s="173">
        <v>18</v>
      </c>
      <c r="B571" s="254" t="s">
        <v>205</v>
      </c>
      <c r="C571" s="263">
        <v>0.06</v>
      </c>
      <c r="D571" s="256">
        <f>C571*D555</f>
        <v>163200</v>
      </c>
      <c r="E571" s="176"/>
      <c r="F571" s="178" t="s">
        <v>359</v>
      </c>
      <c r="G571" s="180"/>
      <c r="H571" s="184"/>
      <c r="I571" s="180"/>
    </row>
    <row r="572" spans="1:9" ht="18" x14ac:dyDescent="0.2">
      <c r="A572" s="173"/>
      <c r="B572" s="254" t="s">
        <v>100</v>
      </c>
      <c r="C572" s="263">
        <v>0.05</v>
      </c>
      <c r="D572" s="256">
        <f>C572*D555</f>
        <v>136000</v>
      </c>
      <c r="E572" s="187"/>
      <c r="F572" s="177"/>
      <c r="G572" s="180"/>
      <c r="H572" s="184"/>
      <c r="I572" s="180"/>
    </row>
    <row r="573" spans="1:9" ht="18" x14ac:dyDescent="0.2">
      <c r="A573" s="173"/>
      <c r="B573" s="264" t="s">
        <v>374</v>
      </c>
      <c r="C573" s="265">
        <f>SUM(C556:C572)</f>
        <v>0.88500000000000023</v>
      </c>
      <c r="D573" s="266">
        <f>SUM(D556:D572)</f>
        <v>2407200</v>
      </c>
      <c r="E573" s="187"/>
      <c r="F573" s="177"/>
      <c r="G573" s="180"/>
      <c r="H573" s="184"/>
      <c r="I573" s="180"/>
    </row>
    <row r="574" spans="1:9" ht="18" x14ac:dyDescent="0.2">
      <c r="A574" s="173"/>
      <c r="B574" s="264" t="s">
        <v>132</v>
      </c>
      <c r="C574" s="265">
        <v>0.1</v>
      </c>
      <c r="D574" s="256">
        <f>C574*D555</f>
        <v>272000</v>
      </c>
      <c r="E574" s="187"/>
      <c r="F574" s="177"/>
      <c r="G574" s="180"/>
      <c r="H574" s="184"/>
      <c r="I574" s="180"/>
    </row>
    <row r="575" spans="1:9" ht="18" x14ac:dyDescent="0.2">
      <c r="A575" s="267"/>
      <c r="B575" s="264" t="s">
        <v>275</v>
      </c>
      <c r="C575" s="265">
        <f>D575/D552</f>
        <v>0.47992647058823529</v>
      </c>
      <c r="D575" s="256">
        <f>D552-D573-D574-D553-D554</f>
        <v>2610800</v>
      </c>
      <c r="E575" s="177"/>
      <c r="F575" s="177"/>
      <c r="G575" s="180"/>
      <c r="H575" s="184"/>
      <c r="I575" s="180"/>
    </row>
    <row r="576" spans="1:9" ht="28.5" x14ac:dyDescent="0.2">
      <c r="A576" s="267"/>
      <c r="B576" s="264" t="s">
        <v>375</v>
      </c>
      <c r="C576" s="268">
        <f>D576/D552</f>
        <v>0.52992647058823528</v>
      </c>
      <c r="D576" s="269">
        <f>D575+D574</f>
        <v>2882800</v>
      </c>
      <c r="E576" s="177"/>
      <c r="F576" s="177"/>
      <c r="G576" s="180"/>
      <c r="H576" s="184"/>
      <c r="I576" s="180"/>
    </row>
    <row r="577" spans="1:7" ht="66.75" customHeight="1" x14ac:dyDescent="0.2">
      <c r="A577" s="802" t="s">
        <v>376</v>
      </c>
      <c r="B577" s="802"/>
      <c r="C577" s="802"/>
      <c r="D577" s="802"/>
      <c r="E577" s="802"/>
      <c r="F577" s="802"/>
    </row>
    <row r="578" spans="1:7" ht="18.75" x14ac:dyDescent="0.2">
      <c r="A578" s="223">
        <v>1</v>
      </c>
      <c r="B578" s="201" t="s">
        <v>7</v>
      </c>
      <c r="C578" s="175"/>
      <c r="D578" s="798">
        <v>740903</v>
      </c>
      <c r="E578" s="799"/>
      <c r="F578" s="800"/>
    </row>
    <row r="579" spans="1:7" ht="18.75" x14ac:dyDescent="0.2">
      <c r="A579" s="223">
        <v>2</v>
      </c>
      <c r="B579" s="201" t="s">
        <v>317</v>
      </c>
      <c r="C579" s="224"/>
      <c r="D579" s="176"/>
      <c r="E579" s="192"/>
      <c r="F579" s="192"/>
    </row>
    <row r="580" spans="1:7" ht="18.75" x14ac:dyDescent="0.2">
      <c r="A580" s="223">
        <v>3</v>
      </c>
      <c r="B580" s="201" t="s">
        <v>70</v>
      </c>
      <c r="C580" s="224"/>
      <c r="D580" s="176">
        <v>100000</v>
      </c>
      <c r="E580" s="177"/>
      <c r="F580" s="178" t="s">
        <v>377</v>
      </c>
    </row>
    <row r="581" spans="1:7" ht="18.75" x14ac:dyDescent="0.2">
      <c r="A581" s="223">
        <v>4</v>
      </c>
      <c r="B581" s="201" t="s">
        <v>356</v>
      </c>
      <c r="C581" s="224"/>
      <c r="D581" s="176">
        <v>50000</v>
      </c>
      <c r="E581" s="177"/>
      <c r="F581" s="178" t="s">
        <v>378</v>
      </c>
      <c r="G581" s="270" t="s">
        <v>379</v>
      </c>
    </row>
    <row r="582" spans="1:7" ht="18.75" x14ac:dyDescent="0.2">
      <c r="A582" s="223">
        <v>5</v>
      </c>
      <c r="B582" s="201" t="s">
        <v>267</v>
      </c>
      <c r="C582" s="224"/>
      <c r="D582" s="176">
        <v>100000</v>
      </c>
      <c r="E582" s="177"/>
      <c r="F582" s="178" t="s">
        <v>123</v>
      </c>
    </row>
    <row r="583" spans="1:7" ht="18.75" x14ac:dyDescent="0.2">
      <c r="A583" s="223">
        <v>6</v>
      </c>
      <c r="B583" s="201" t="s">
        <v>256</v>
      </c>
      <c r="C583" s="224"/>
      <c r="D583" s="271">
        <v>100000</v>
      </c>
      <c r="E583" s="177"/>
      <c r="F583" s="178" t="s">
        <v>380</v>
      </c>
    </row>
    <row r="584" spans="1:7" ht="18.75" x14ac:dyDescent="0.2">
      <c r="A584" s="223">
        <v>7</v>
      </c>
      <c r="B584" s="201" t="s">
        <v>319</v>
      </c>
      <c r="C584" s="272"/>
      <c r="D584" s="273"/>
      <c r="E584" s="274"/>
      <c r="F584" s="178" t="s">
        <v>320</v>
      </c>
    </row>
    <row r="585" spans="1:7" ht="18.75" x14ac:dyDescent="0.2">
      <c r="A585" s="223">
        <v>8</v>
      </c>
      <c r="B585" s="201" t="s">
        <v>294</v>
      </c>
      <c r="C585" s="272"/>
      <c r="D585" s="148">
        <v>30000</v>
      </c>
      <c r="E585" s="274"/>
      <c r="F585" s="178" t="s">
        <v>324</v>
      </c>
    </row>
    <row r="586" spans="1:7" ht="18.75" x14ac:dyDescent="0.2">
      <c r="A586" s="223">
        <v>9</v>
      </c>
      <c r="B586" s="201" t="s">
        <v>322</v>
      </c>
      <c r="C586" s="272"/>
      <c r="D586" s="148">
        <v>30000</v>
      </c>
      <c r="E586" s="274"/>
      <c r="F586" s="178" t="s">
        <v>324</v>
      </c>
    </row>
    <row r="587" spans="1:7" ht="18.75" x14ac:dyDescent="0.2">
      <c r="A587" s="223">
        <v>10</v>
      </c>
      <c r="B587" s="201" t="s">
        <v>323</v>
      </c>
      <c r="C587" s="272"/>
      <c r="D587" s="148">
        <v>30000</v>
      </c>
      <c r="E587" s="274"/>
      <c r="F587" s="178" t="s">
        <v>324</v>
      </c>
    </row>
    <row r="588" spans="1:7" ht="18.75" x14ac:dyDescent="0.2">
      <c r="A588" s="223">
        <v>11</v>
      </c>
      <c r="B588" s="201" t="s">
        <v>325</v>
      </c>
      <c r="C588" s="272"/>
      <c r="D588" s="273"/>
      <c r="E588" s="274"/>
      <c r="F588" s="178" t="s">
        <v>326</v>
      </c>
    </row>
    <row r="589" spans="1:7" ht="18.75" x14ac:dyDescent="0.2">
      <c r="A589" s="223">
        <v>12</v>
      </c>
      <c r="B589" s="201" t="s">
        <v>327</v>
      </c>
      <c r="C589" s="224"/>
      <c r="D589" s="275"/>
      <c r="E589" s="178"/>
      <c r="F589" s="178" t="s">
        <v>372</v>
      </c>
    </row>
    <row r="590" spans="1:7" ht="18.75" x14ac:dyDescent="0.2">
      <c r="A590" s="223">
        <v>13</v>
      </c>
      <c r="B590" s="201" t="s">
        <v>261</v>
      </c>
      <c r="C590" s="224"/>
      <c r="D590" s="276"/>
      <c r="E590" s="178"/>
      <c r="F590" s="178" t="s">
        <v>372</v>
      </c>
    </row>
    <row r="591" spans="1:7" ht="18.75" x14ac:dyDescent="0.2">
      <c r="A591" s="223">
        <v>14</v>
      </c>
      <c r="B591" s="208" t="s">
        <v>132</v>
      </c>
      <c r="C591" s="224"/>
      <c r="D591" s="176">
        <v>50000</v>
      </c>
      <c r="E591" s="177"/>
      <c r="F591" s="178"/>
    </row>
    <row r="592" spans="1:7" ht="21" x14ac:dyDescent="0.2">
      <c r="A592" s="228"/>
      <c r="B592" s="229" t="s">
        <v>330</v>
      </c>
      <c r="C592" s="230"/>
      <c r="D592" s="231">
        <f>SUM(D580:D591)</f>
        <v>490000</v>
      </c>
      <c r="E592" s="177"/>
      <c r="F592" s="178"/>
    </row>
    <row r="593" spans="1:6" ht="21" x14ac:dyDescent="0.2">
      <c r="A593" s="228"/>
      <c r="B593" s="229" t="s">
        <v>23</v>
      </c>
      <c r="C593" s="230">
        <f>D593/D578</f>
        <v>0.3386448698412613</v>
      </c>
      <c r="D593" s="231">
        <f>D578-D592</f>
        <v>250903</v>
      </c>
      <c r="E593" s="177"/>
      <c r="F593" s="178"/>
    </row>
    <row r="594" spans="1:6" ht="21" x14ac:dyDescent="0.2">
      <c r="A594" s="173"/>
      <c r="B594" s="232" t="s">
        <v>331</v>
      </c>
      <c r="C594" s="233"/>
      <c r="D594" s="234">
        <f>D593+D591</f>
        <v>300903</v>
      </c>
      <c r="E594" s="177"/>
      <c r="F594" s="178"/>
    </row>
    <row r="595" spans="1:6" ht="21" x14ac:dyDescent="0.2">
      <c r="A595" s="277"/>
      <c r="B595" s="278"/>
      <c r="C595" s="279"/>
      <c r="D595" s="280"/>
      <c r="E595" s="177"/>
      <c r="F595" s="178"/>
    </row>
    <row r="596" spans="1:6" ht="21" x14ac:dyDescent="0.2">
      <c r="A596" s="277"/>
      <c r="B596" s="278"/>
      <c r="C596" s="279"/>
      <c r="D596" s="280"/>
      <c r="E596" s="177"/>
      <c r="F596" s="178"/>
    </row>
    <row r="597" spans="1:6" ht="75" customHeight="1" x14ac:dyDescent="0.2">
      <c r="A597" s="802" t="s">
        <v>381</v>
      </c>
      <c r="B597" s="802"/>
      <c r="C597" s="802"/>
      <c r="D597" s="802"/>
      <c r="E597" s="802"/>
      <c r="F597" s="802"/>
    </row>
    <row r="598" spans="1:6" ht="18.75" x14ac:dyDescent="0.2">
      <c r="A598" s="223">
        <v>1</v>
      </c>
      <c r="B598" s="201" t="s">
        <v>7</v>
      </c>
      <c r="C598" s="175"/>
      <c r="D598" s="803">
        <v>1424068</v>
      </c>
      <c r="E598" s="803"/>
      <c r="F598" s="803"/>
    </row>
    <row r="599" spans="1:6" ht="18.75" x14ac:dyDescent="0.2">
      <c r="A599" s="223">
        <v>2</v>
      </c>
      <c r="B599" s="201" t="s">
        <v>317</v>
      </c>
      <c r="C599" s="224">
        <v>0.5</v>
      </c>
      <c r="D599" s="176">
        <f>C599*D598</f>
        <v>712034</v>
      </c>
      <c r="E599" s="192"/>
      <c r="F599" s="192"/>
    </row>
    <row r="600" spans="1:6" ht="18.75" x14ac:dyDescent="0.2">
      <c r="A600" s="223">
        <v>3</v>
      </c>
      <c r="B600" s="201" t="s">
        <v>70</v>
      </c>
      <c r="C600" s="224">
        <v>0.15</v>
      </c>
      <c r="D600" s="176">
        <f>D599*C600</f>
        <v>106805.09999999999</v>
      </c>
      <c r="E600" s="177"/>
      <c r="F600" s="178" t="s">
        <v>131</v>
      </c>
    </row>
    <row r="601" spans="1:6" ht="18.75" x14ac:dyDescent="0.2">
      <c r="A601" s="223">
        <v>4</v>
      </c>
      <c r="B601" s="201" t="s">
        <v>356</v>
      </c>
      <c r="C601" s="224">
        <v>7.0000000000000007E-2</v>
      </c>
      <c r="D601" s="176">
        <f>C601*D599</f>
        <v>49842.380000000005</v>
      </c>
      <c r="E601" s="177"/>
      <c r="F601" s="178" t="s">
        <v>378</v>
      </c>
    </row>
    <row r="602" spans="1:6" ht="18.75" x14ac:dyDescent="0.2">
      <c r="A602" s="223">
        <v>5</v>
      </c>
      <c r="B602" s="201" t="s">
        <v>20</v>
      </c>
      <c r="C602" s="224">
        <v>0.1</v>
      </c>
      <c r="D602" s="176">
        <f>C602*D599</f>
        <v>71203.400000000009</v>
      </c>
      <c r="E602" s="177"/>
      <c r="F602" s="178" t="s">
        <v>382</v>
      </c>
    </row>
    <row r="603" spans="1:6" ht="39.75" customHeight="1" x14ac:dyDescent="0.2">
      <c r="A603" s="223">
        <v>6</v>
      </c>
      <c r="B603" s="201" t="s">
        <v>267</v>
      </c>
      <c r="C603" s="224">
        <v>0.05</v>
      </c>
      <c r="D603" s="176">
        <f>C603*D599</f>
        <v>35601.700000000004</v>
      </c>
      <c r="E603" s="177"/>
      <c r="F603" s="178" t="s">
        <v>383</v>
      </c>
    </row>
    <row r="604" spans="1:6" ht="39.75" customHeight="1" x14ac:dyDescent="0.2">
      <c r="A604" s="223">
        <v>7</v>
      </c>
      <c r="B604" s="201" t="s">
        <v>256</v>
      </c>
      <c r="C604" s="224">
        <v>0.05</v>
      </c>
      <c r="D604" s="176">
        <f>C604*D599</f>
        <v>35601.700000000004</v>
      </c>
      <c r="E604" s="177"/>
      <c r="F604" s="178" t="s">
        <v>384</v>
      </c>
    </row>
    <row r="605" spans="1:6" ht="30" customHeight="1" x14ac:dyDescent="0.2">
      <c r="A605" s="223">
        <v>8</v>
      </c>
      <c r="B605" s="201" t="s">
        <v>319</v>
      </c>
      <c r="C605" s="224">
        <v>0.1</v>
      </c>
      <c r="D605" s="176">
        <f>C605*D599</f>
        <v>71203.400000000009</v>
      </c>
      <c r="E605" s="177"/>
      <c r="F605" s="178" t="s">
        <v>320</v>
      </c>
    </row>
    <row r="606" spans="1:6" ht="43.5" customHeight="1" x14ac:dyDescent="0.2">
      <c r="A606" s="223">
        <v>9</v>
      </c>
      <c r="B606" s="201" t="s">
        <v>294</v>
      </c>
      <c r="C606" s="224">
        <v>0</v>
      </c>
      <c r="D606" s="176">
        <f>C606*D599</f>
        <v>0</v>
      </c>
      <c r="E606" s="177"/>
      <c r="F606" s="178" t="s">
        <v>385</v>
      </c>
    </row>
    <row r="607" spans="1:6" ht="31.5" x14ac:dyDescent="0.2">
      <c r="A607" s="223">
        <v>10</v>
      </c>
      <c r="B607" s="201" t="s">
        <v>322</v>
      </c>
      <c r="C607" s="224">
        <v>0</v>
      </c>
      <c r="D607" s="176">
        <f>C607*D599</f>
        <v>0</v>
      </c>
      <c r="E607" s="177"/>
      <c r="F607" s="178" t="s">
        <v>385</v>
      </c>
    </row>
    <row r="608" spans="1:6" ht="31.5" x14ac:dyDescent="0.2">
      <c r="A608" s="223">
        <v>11</v>
      </c>
      <c r="B608" s="201" t="s">
        <v>323</v>
      </c>
      <c r="C608" s="224">
        <v>0</v>
      </c>
      <c r="D608" s="176">
        <f>C608*D599</f>
        <v>0</v>
      </c>
      <c r="E608" s="177"/>
      <c r="F608" s="178" t="s">
        <v>385</v>
      </c>
    </row>
    <row r="609" spans="1:6" ht="18.75" x14ac:dyDescent="0.2">
      <c r="A609" s="223">
        <v>12</v>
      </c>
      <c r="B609" s="201" t="s">
        <v>325</v>
      </c>
      <c r="C609" s="224">
        <v>0.06</v>
      </c>
      <c r="D609" s="176">
        <f>C609*D599</f>
        <v>42722.04</v>
      </c>
      <c r="E609" s="177"/>
      <c r="F609" s="178" t="s">
        <v>326</v>
      </c>
    </row>
    <row r="610" spans="1:6" ht="37.5" customHeight="1" x14ac:dyDescent="0.2">
      <c r="A610" s="223">
        <v>13</v>
      </c>
      <c r="B610" s="201" t="s">
        <v>327</v>
      </c>
      <c r="C610" s="224">
        <v>0</v>
      </c>
      <c r="D610" s="176">
        <f>C610*D599</f>
        <v>0</v>
      </c>
      <c r="E610" s="177"/>
      <c r="F610" s="178" t="s">
        <v>386</v>
      </c>
    </row>
    <row r="611" spans="1:6" ht="36" customHeight="1" x14ac:dyDescent="0.2">
      <c r="A611" s="223">
        <v>14</v>
      </c>
      <c r="B611" s="201" t="s">
        <v>387</v>
      </c>
      <c r="C611" s="224">
        <v>0.05</v>
      </c>
      <c r="D611" s="176">
        <f>C611*D599</f>
        <v>35601.700000000004</v>
      </c>
      <c r="E611" s="177"/>
      <c r="F611" s="178" t="s">
        <v>388</v>
      </c>
    </row>
    <row r="612" spans="1:6" ht="34.5" customHeight="1" x14ac:dyDescent="0.2">
      <c r="A612" s="223">
        <v>15</v>
      </c>
      <c r="B612" s="201" t="s">
        <v>261</v>
      </c>
      <c r="C612" s="224">
        <v>0.03</v>
      </c>
      <c r="D612" s="176">
        <f>C612*D599</f>
        <v>21361.02</v>
      </c>
      <c r="E612" s="177"/>
      <c r="F612" s="178" t="s">
        <v>389</v>
      </c>
    </row>
    <row r="613" spans="1:6" ht="18.75" x14ac:dyDescent="0.2">
      <c r="A613" s="223">
        <v>16</v>
      </c>
      <c r="B613" s="208" t="s">
        <v>132</v>
      </c>
      <c r="C613" s="224">
        <v>0.08</v>
      </c>
      <c r="D613" s="176">
        <f>C613*D599</f>
        <v>56962.720000000001</v>
      </c>
      <c r="E613" s="177"/>
      <c r="F613" s="178"/>
    </row>
    <row r="614" spans="1:6" ht="21" x14ac:dyDescent="0.2">
      <c r="A614" s="228"/>
      <c r="B614" s="229" t="s">
        <v>330</v>
      </c>
      <c r="C614" s="230">
        <f>SUM(C600:C613)</f>
        <v>0.7400000000000001</v>
      </c>
      <c r="D614" s="231">
        <f>SUM(D600:D613)</f>
        <v>526905.16</v>
      </c>
      <c r="E614" s="177"/>
      <c r="F614" s="178"/>
    </row>
    <row r="615" spans="1:6" ht="21" x14ac:dyDescent="0.2">
      <c r="A615" s="228"/>
      <c r="B615" s="229" t="s">
        <v>23</v>
      </c>
      <c r="C615" s="230"/>
      <c r="D615" s="231">
        <f>D598-D614</f>
        <v>897162.84</v>
      </c>
      <c r="E615" s="177"/>
      <c r="F615" s="178"/>
    </row>
    <row r="616" spans="1:6" ht="21" x14ac:dyDescent="0.2">
      <c r="A616" s="173"/>
      <c r="B616" s="232" t="s">
        <v>331</v>
      </c>
      <c r="C616" s="233">
        <f>D616/D598</f>
        <v>0.54</v>
      </c>
      <c r="D616" s="234">
        <f>D598-D599+D613</f>
        <v>768996.72</v>
      </c>
      <c r="E616" s="177"/>
      <c r="F616" s="178"/>
    </row>
    <row r="617" spans="1:6" ht="80.25" customHeight="1" x14ac:dyDescent="0.2">
      <c r="A617" s="802" t="s">
        <v>390</v>
      </c>
      <c r="B617" s="802"/>
      <c r="C617" s="802"/>
      <c r="D617" s="802"/>
      <c r="E617" s="802"/>
      <c r="F617" s="802"/>
    </row>
    <row r="618" spans="1:6" ht="18.75" x14ac:dyDescent="0.2">
      <c r="A618" s="223">
        <v>1</v>
      </c>
      <c r="B618" s="201" t="s">
        <v>7</v>
      </c>
      <c r="C618" s="175"/>
      <c r="D618" s="803">
        <v>160000</v>
      </c>
      <c r="E618" s="803"/>
      <c r="F618" s="803"/>
    </row>
    <row r="619" spans="1:6" ht="18.75" x14ac:dyDescent="0.2">
      <c r="A619" s="223">
        <v>2</v>
      </c>
      <c r="B619" s="201" t="s">
        <v>317</v>
      </c>
      <c r="C619" s="224">
        <v>0.5</v>
      </c>
      <c r="D619" s="176">
        <f>C619*D618</f>
        <v>80000</v>
      </c>
      <c r="E619" s="192"/>
      <c r="F619" s="192"/>
    </row>
    <row r="620" spans="1:6" ht="18.75" x14ac:dyDescent="0.2">
      <c r="A620" s="223">
        <v>3</v>
      </c>
      <c r="B620" s="201" t="s">
        <v>70</v>
      </c>
      <c r="C620" s="224">
        <v>0.1</v>
      </c>
      <c r="D620" s="176">
        <f>D619*C620</f>
        <v>8000</v>
      </c>
      <c r="E620" s="177"/>
      <c r="F620" s="178" t="s">
        <v>131</v>
      </c>
    </row>
    <row r="621" spans="1:6" ht="18.75" x14ac:dyDescent="0.2">
      <c r="A621" s="223">
        <v>4</v>
      </c>
      <c r="B621" s="201" t="s">
        <v>11</v>
      </c>
      <c r="C621" s="224">
        <v>0.05</v>
      </c>
      <c r="D621" s="176">
        <f>C621*D619</f>
        <v>4000</v>
      </c>
      <c r="E621" s="177"/>
      <c r="F621" s="178"/>
    </row>
    <row r="622" spans="1:6" ht="18.75" x14ac:dyDescent="0.2">
      <c r="A622" s="223">
        <v>5</v>
      </c>
      <c r="B622" s="201" t="s">
        <v>259</v>
      </c>
      <c r="C622" s="224">
        <v>0.7</v>
      </c>
      <c r="D622" s="176">
        <f>C622*D619</f>
        <v>56000</v>
      </c>
      <c r="E622" s="177"/>
      <c r="F622" s="178" t="s">
        <v>391</v>
      </c>
    </row>
    <row r="623" spans="1:6" ht="18.75" x14ac:dyDescent="0.2">
      <c r="A623" s="223">
        <v>15</v>
      </c>
      <c r="B623" s="208" t="s">
        <v>132</v>
      </c>
      <c r="C623" s="224">
        <v>0.08</v>
      </c>
      <c r="D623" s="176">
        <f>C623*D619</f>
        <v>6400</v>
      </c>
      <c r="E623" s="177"/>
      <c r="F623" s="178"/>
    </row>
    <row r="624" spans="1:6" ht="21" x14ac:dyDescent="0.2">
      <c r="A624" s="228"/>
      <c r="B624" s="229" t="s">
        <v>330</v>
      </c>
      <c r="C624" s="230">
        <f>SUM(C620:C623)</f>
        <v>0.92999999999999994</v>
      </c>
      <c r="D624" s="231">
        <f>SUM(D620:D623)</f>
        <v>74400</v>
      </c>
      <c r="E624" s="177"/>
      <c r="F624" s="178"/>
    </row>
    <row r="625" spans="1:6" ht="21" x14ac:dyDescent="0.2">
      <c r="A625" s="228"/>
      <c r="B625" s="229" t="s">
        <v>23</v>
      </c>
      <c r="C625" s="230"/>
      <c r="D625" s="231">
        <f>D618-D624</f>
        <v>85600</v>
      </c>
      <c r="E625" s="177"/>
      <c r="F625" s="178"/>
    </row>
    <row r="626" spans="1:6" ht="21" x14ac:dyDescent="0.2">
      <c r="A626" s="173"/>
      <c r="B626" s="232" t="s">
        <v>331</v>
      </c>
      <c r="C626" s="233">
        <f>D626/D618</f>
        <v>0.54</v>
      </c>
      <c r="D626" s="234">
        <f>D618-D619+D623</f>
        <v>86400</v>
      </c>
      <c r="E626" s="177"/>
      <c r="F626" s="178"/>
    </row>
    <row r="627" spans="1:6" ht="69" customHeight="1" x14ac:dyDescent="0.2">
      <c r="A627" s="804" t="s">
        <v>392</v>
      </c>
      <c r="B627" s="805"/>
      <c r="C627" s="805"/>
      <c r="D627" s="805"/>
      <c r="E627" s="805"/>
      <c r="F627" s="806"/>
    </row>
    <row r="628" spans="1:6" x14ac:dyDescent="0.2">
      <c r="A628" s="173">
        <v>1</v>
      </c>
      <c r="B628" s="254" t="s">
        <v>352</v>
      </c>
      <c r="C628" s="175"/>
      <c r="D628" s="798">
        <v>481600</v>
      </c>
      <c r="E628" s="799"/>
      <c r="F628" s="800"/>
    </row>
    <row r="629" spans="1:6" x14ac:dyDescent="0.2">
      <c r="A629" s="173">
        <v>2</v>
      </c>
      <c r="B629" s="254" t="s">
        <v>393</v>
      </c>
      <c r="C629" s="255"/>
      <c r="D629" s="256">
        <v>0</v>
      </c>
      <c r="E629" s="177"/>
      <c r="F629" s="178"/>
    </row>
    <row r="630" spans="1:6" ht="29.25" x14ac:dyDescent="0.2">
      <c r="A630" s="173">
        <v>3</v>
      </c>
      <c r="B630" s="257" t="s">
        <v>394</v>
      </c>
      <c r="C630" s="258">
        <v>0.5</v>
      </c>
      <c r="D630" s="259">
        <f>D628*C630</f>
        <v>240800</v>
      </c>
      <c r="E630" s="177"/>
      <c r="F630" s="178"/>
    </row>
    <row r="631" spans="1:6" x14ac:dyDescent="0.2">
      <c r="A631" s="173">
        <v>4</v>
      </c>
      <c r="B631" s="260" t="s">
        <v>355</v>
      </c>
      <c r="C631" s="258">
        <v>0.05</v>
      </c>
      <c r="D631" s="261">
        <f>C631*D630</f>
        <v>12040</v>
      </c>
      <c r="E631" s="177"/>
      <c r="F631" s="178"/>
    </row>
    <row r="632" spans="1:6" x14ac:dyDescent="0.2">
      <c r="A632" s="173">
        <v>5</v>
      </c>
      <c r="B632" s="260" t="s">
        <v>356</v>
      </c>
      <c r="C632" s="258">
        <v>0.04</v>
      </c>
      <c r="D632" s="261">
        <f>D630*C632</f>
        <v>9632</v>
      </c>
      <c r="E632" s="178"/>
      <c r="F632" s="178" t="s">
        <v>338</v>
      </c>
    </row>
    <row r="633" spans="1:6" x14ac:dyDescent="0.2">
      <c r="A633" s="173">
        <v>6</v>
      </c>
      <c r="B633" s="260" t="s">
        <v>357</v>
      </c>
      <c r="C633" s="258">
        <v>0.15</v>
      </c>
      <c r="D633" s="261">
        <f>D630*C633</f>
        <v>36120</v>
      </c>
      <c r="E633" s="177"/>
      <c r="F633" s="178" t="s">
        <v>131</v>
      </c>
    </row>
    <row r="634" spans="1:6" x14ac:dyDescent="0.2">
      <c r="A634" s="173">
        <v>7</v>
      </c>
      <c r="B634" s="260" t="s">
        <v>236</v>
      </c>
      <c r="C634" s="258">
        <v>0.4</v>
      </c>
      <c r="D634" s="261">
        <f>C634*D630</f>
        <v>96320</v>
      </c>
      <c r="E634" s="177"/>
      <c r="F634" s="178" t="s">
        <v>395</v>
      </c>
    </row>
    <row r="635" spans="1:6" x14ac:dyDescent="0.2">
      <c r="A635" s="173">
        <v>8</v>
      </c>
      <c r="B635" s="254" t="s">
        <v>396</v>
      </c>
      <c r="C635" s="263">
        <v>0.05</v>
      </c>
      <c r="D635" s="256">
        <f>C635*D630</f>
        <v>12040</v>
      </c>
      <c r="E635" s="177"/>
      <c r="F635" s="178" t="s">
        <v>395</v>
      </c>
    </row>
    <row r="636" spans="1:6" x14ac:dyDescent="0.2">
      <c r="A636" s="173">
        <v>9</v>
      </c>
      <c r="B636" s="254" t="s">
        <v>397</v>
      </c>
      <c r="C636" s="263">
        <v>0.05</v>
      </c>
      <c r="D636" s="256">
        <f>C636*D630</f>
        <v>12040</v>
      </c>
      <c r="E636" s="177"/>
      <c r="F636" s="178" t="s">
        <v>398</v>
      </c>
    </row>
    <row r="637" spans="1:6" x14ac:dyDescent="0.2">
      <c r="A637" s="173"/>
      <c r="B637" s="254" t="s">
        <v>100</v>
      </c>
      <c r="C637" s="263">
        <v>0.05</v>
      </c>
      <c r="D637" s="256">
        <f>C637*D630</f>
        <v>12040</v>
      </c>
      <c r="E637" s="187"/>
      <c r="F637" s="177"/>
    </row>
    <row r="638" spans="1:6" x14ac:dyDescent="0.2">
      <c r="A638" s="173"/>
      <c r="B638" s="264" t="s">
        <v>374</v>
      </c>
      <c r="C638" s="265">
        <f>SUM(C631:C637)</f>
        <v>0.79000000000000015</v>
      </c>
      <c r="D638" s="266">
        <f>SUM(D631:D637)</f>
        <v>190232</v>
      </c>
      <c r="E638" s="187"/>
      <c r="F638" s="177"/>
    </row>
    <row r="639" spans="1:6" x14ac:dyDescent="0.2">
      <c r="A639" s="173"/>
      <c r="B639" s="264" t="s">
        <v>132</v>
      </c>
      <c r="C639" s="265">
        <v>0.15</v>
      </c>
      <c r="D639" s="256">
        <f>C639*D630</f>
        <v>36120</v>
      </c>
      <c r="E639" s="187"/>
      <c r="F639" s="177"/>
    </row>
    <row r="640" spans="1:6" x14ac:dyDescent="0.2">
      <c r="A640" s="267"/>
      <c r="B640" s="264" t="s">
        <v>275</v>
      </c>
      <c r="C640" s="265">
        <f>D640/D628</f>
        <v>0.53</v>
      </c>
      <c r="D640" s="256">
        <f>D628-D638-D639-D629</f>
        <v>255248</v>
      </c>
      <c r="E640" s="177"/>
      <c r="F640" s="177"/>
    </row>
    <row r="641" spans="1:6" ht="28.5" x14ac:dyDescent="0.2">
      <c r="A641" s="267"/>
      <c r="B641" s="264" t="s">
        <v>375</v>
      </c>
      <c r="C641" s="268">
        <f>D641/D628</f>
        <v>0.60499999999999998</v>
      </c>
      <c r="D641" s="269">
        <f>D640+D639</f>
        <v>291368</v>
      </c>
      <c r="E641" s="177"/>
      <c r="F641" s="177"/>
    </row>
    <row r="642" spans="1:6" ht="18" x14ac:dyDescent="0.2">
      <c r="A642" s="281"/>
      <c r="B642" s="281"/>
      <c r="C642" s="281"/>
      <c r="D642" s="281"/>
      <c r="E642" s="282"/>
      <c r="F642" s="281"/>
    </row>
    <row r="643" spans="1:6" ht="18" x14ac:dyDescent="0.2">
      <c r="A643" s="281"/>
      <c r="B643" s="283" t="s">
        <v>301</v>
      </c>
      <c r="C643" s="284"/>
      <c r="D643" s="281"/>
      <c r="E643" s="282"/>
      <c r="F643" s="281"/>
    </row>
    <row r="644" spans="1:6" ht="18" x14ac:dyDescent="0.2">
      <c r="A644" s="281"/>
      <c r="B644" s="281" t="s">
        <v>302</v>
      </c>
      <c r="C644" s="801"/>
      <c r="D644" s="801"/>
      <c r="E644" s="801"/>
      <c r="F644" s="801"/>
    </row>
    <row r="645" spans="1:6" ht="18" x14ac:dyDescent="0.2">
      <c r="A645" s="281"/>
      <c r="B645" s="281" t="s">
        <v>303</v>
      </c>
      <c r="C645" s="801" t="s">
        <v>304</v>
      </c>
      <c r="D645" s="801"/>
      <c r="E645" s="801"/>
      <c r="F645" s="801"/>
    </row>
    <row r="646" spans="1:6" ht="63.75" customHeight="1" x14ac:dyDescent="0.2"/>
    <row r="648" spans="1:6" x14ac:dyDescent="0.2">
      <c r="A648" s="1"/>
      <c r="B648" s="1"/>
      <c r="C648" s="1"/>
      <c r="D648" s="1"/>
      <c r="E648" s="1"/>
      <c r="F648" s="1"/>
    </row>
    <row r="649" spans="1:6" x14ac:dyDescent="0.2">
      <c r="A649" s="1"/>
      <c r="B649" s="1"/>
      <c r="C649" s="1"/>
      <c r="D649" s="1"/>
      <c r="E649" s="1"/>
      <c r="F649" s="1"/>
    </row>
    <row r="650" spans="1:6" x14ac:dyDescent="0.2">
      <c r="A650" s="1"/>
      <c r="B650" s="1"/>
      <c r="C650" s="1"/>
      <c r="D650" s="1"/>
      <c r="E650" s="1"/>
      <c r="F650" s="1"/>
    </row>
    <row r="651" spans="1:6" x14ac:dyDescent="0.2">
      <c r="A651" s="1"/>
      <c r="B651" s="1"/>
      <c r="C651" s="1"/>
      <c r="D651" s="1"/>
      <c r="E651" s="1"/>
      <c r="F651" s="1"/>
    </row>
    <row r="652" spans="1:6" x14ac:dyDescent="0.2">
      <c r="A652" s="1"/>
      <c r="B652" s="1"/>
      <c r="C652" s="1"/>
      <c r="D652" s="1"/>
      <c r="E652" s="1"/>
      <c r="F652" s="1"/>
    </row>
    <row r="653" spans="1:6" x14ac:dyDescent="0.2">
      <c r="A653" s="1"/>
      <c r="B653" s="1"/>
      <c r="C653" s="1"/>
      <c r="D653" s="1"/>
      <c r="E653" s="1"/>
      <c r="F653" s="1"/>
    </row>
    <row r="654" spans="1:6" x14ac:dyDescent="0.2">
      <c r="A654" s="1"/>
      <c r="B654" s="1"/>
      <c r="C654" s="1"/>
      <c r="D654" s="1"/>
      <c r="E654" s="1"/>
      <c r="F654" s="1"/>
    </row>
    <row r="655" spans="1:6" x14ac:dyDescent="0.2">
      <c r="A655" s="1"/>
      <c r="B655" s="1"/>
      <c r="C655" s="1"/>
      <c r="D655" s="1"/>
      <c r="E655" s="1"/>
      <c r="F655" s="1"/>
    </row>
    <row r="656" spans="1:6" x14ac:dyDescent="0.2">
      <c r="A656" s="1"/>
      <c r="B656" s="1"/>
      <c r="C656" s="1"/>
      <c r="D656" s="1"/>
      <c r="E656" s="1"/>
      <c r="F656" s="1"/>
    </row>
    <row r="657" s="1" customFormat="1" x14ac:dyDescent="0.2"/>
    <row r="658" s="1" customFormat="1" x14ac:dyDescent="0.2"/>
    <row r="659" s="1" customFormat="1" x14ac:dyDescent="0.2"/>
    <row r="660" s="1" customFormat="1" x14ac:dyDescent="0.2"/>
    <row r="661" s="1" customFormat="1" x14ac:dyDescent="0.2"/>
    <row r="662" s="1" customFormat="1" ht="72.75" customHeight="1" x14ac:dyDescent="0.2"/>
    <row r="663" s="1" customFormat="1" x14ac:dyDescent="0.2"/>
    <row r="664" s="1" customFormat="1" x14ac:dyDescent="0.2"/>
    <row r="665" s="1" customFormat="1" x14ac:dyDescent="0.2"/>
    <row r="666" s="1" customFormat="1" x14ac:dyDescent="0.2"/>
    <row r="667" s="1" customFormat="1" x14ac:dyDescent="0.2"/>
    <row r="668" s="1" customFormat="1" x14ac:dyDescent="0.2"/>
    <row r="669" s="1" customFormat="1" x14ac:dyDescent="0.2"/>
    <row r="670" s="1" customFormat="1" x14ac:dyDescent="0.2"/>
    <row r="671" s="1" customFormat="1" x14ac:dyDescent="0.2"/>
    <row r="672" s="1" customFormat="1" x14ac:dyDescent="0.2"/>
    <row r="673" spans="1:6" x14ac:dyDescent="0.2">
      <c r="A673" s="1"/>
      <c r="B673" s="1"/>
      <c r="C673" s="1"/>
      <c r="D673" s="1"/>
      <c r="E673" s="1"/>
      <c r="F673" s="1"/>
    </row>
    <row r="674" spans="1:6" x14ac:dyDescent="0.2">
      <c r="A674" s="1"/>
      <c r="B674" s="1"/>
      <c r="C674" s="1"/>
      <c r="D674" s="1"/>
      <c r="E674" s="1"/>
      <c r="F674" s="1"/>
    </row>
    <row r="675" spans="1:6" x14ac:dyDescent="0.2">
      <c r="A675" s="1"/>
      <c r="B675" s="1"/>
      <c r="C675" s="1"/>
      <c r="D675" s="1"/>
      <c r="E675" s="1"/>
      <c r="F675" s="1"/>
    </row>
    <row r="676" spans="1:6" x14ac:dyDescent="0.2">
      <c r="A676" s="1"/>
      <c r="B676" s="1"/>
      <c r="C676" s="1"/>
      <c r="D676" s="1"/>
      <c r="E676" s="1"/>
      <c r="F676" s="1"/>
    </row>
    <row r="677" spans="1:6" x14ac:dyDescent="0.2">
      <c r="A677" s="1"/>
      <c r="B677" s="1"/>
      <c r="C677" s="1"/>
      <c r="D677" s="1"/>
      <c r="E677" s="1"/>
      <c r="F677" s="1"/>
    </row>
    <row r="678" spans="1:6" x14ac:dyDescent="0.2">
      <c r="A678" s="1"/>
      <c r="B678" s="1"/>
      <c r="C678" s="1"/>
      <c r="D678" s="1"/>
      <c r="E678" s="1"/>
      <c r="F678" s="1"/>
    </row>
    <row r="679" spans="1:6" x14ac:dyDescent="0.2">
      <c r="A679" s="1"/>
      <c r="B679" s="1"/>
      <c r="C679" s="1"/>
      <c r="D679" s="1"/>
      <c r="E679" s="1"/>
      <c r="F679" s="1"/>
    </row>
    <row r="680" spans="1:6" x14ac:dyDescent="0.2">
      <c r="A680" s="285"/>
      <c r="B680" s="286"/>
      <c r="C680" s="287"/>
      <c r="D680" s="286"/>
      <c r="E680" s="286"/>
      <c r="F680" s="286"/>
    </row>
    <row r="681" spans="1:6" x14ac:dyDescent="0.2">
      <c r="A681" s="285"/>
      <c r="B681" s="286"/>
      <c r="C681" s="287"/>
      <c r="D681" s="286"/>
      <c r="E681" s="286"/>
      <c r="F681" s="286"/>
    </row>
    <row r="682" spans="1:6" x14ac:dyDescent="0.2">
      <c r="A682" s="285"/>
      <c r="B682" s="286"/>
      <c r="C682" s="287"/>
      <c r="D682" s="286"/>
      <c r="E682" s="286"/>
      <c r="F682" s="286"/>
    </row>
    <row r="683" spans="1:6" x14ac:dyDescent="0.2">
      <c r="A683" s="285"/>
      <c r="B683" s="286"/>
      <c r="C683" s="287"/>
      <c r="D683" s="286"/>
      <c r="E683" s="286"/>
      <c r="F683" s="286"/>
    </row>
    <row r="684" spans="1:6" x14ac:dyDescent="0.2">
      <c r="A684" s="285"/>
      <c r="B684" s="286"/>
      <c r="C684" s="287"/>
      <c r="D684" s="286"/>
      <c r="E684" s="286"/>
      <c r="F684" s="286"/>
    </row>
    <row r="685" spans="1:6" x14ac:dyDescent="0.2">
      <c r="A685" s="285"/>
      <c r="B685" s="286"/>
      <c r="C685" s="287"/>
      <c r="D685" s="286"/>
      <c r="E685" s="286"/>
      <c r="F685" s="286"/>
    </row>
    <row r="686" spans="1:6" x14ac:dyDescent="0.2">
      <c r="A686" s="285"/>
      <c r="B686" s="286"/>
      <c r="C686" s="287"/>
      <c r="D686" s="286"/>
      <c r="E686" s="286"/>
      <c r="F686" s="286"/>
    </row>
    <row r="687" spans="1:6" x14ac:dyDescent="0.2">
      <c r="A687" s="285"/>
      <c r="B687" s="286"/>
      <c r="C687" s="287"/>
      <c r="D687" s="286"/>
      <c r="E687" s="286"/>
      <c r="F687" s="286"/>
    </row>
    <row r="688" spans="1:6" x14ac:dyDescent="0.2">
      <c r="A688" s="285"/>
      <c r="B688" s="286"/>
      <c r="C688" s="287"/>
      <c r="D688" s="286"/>
      <c r="E688" s="286"/>
      <c r="F688" s="286"/>
    </row>
    <row r="689" spans="1:6" x14ac:dyDescent="0.2">
      <c r="A689" s="285"/>
      <c r="B689" s="286"/>
      <c r="C689" s="287"/>
      <c r="D689" s="286"/>
      <c r="E689" s="286"/>
      <c r="F689" s="286"/>
    </row>
    <row r="690" spans="1:6" x14ac:dyDescent="0.2">
      <c r="A690" s="285"/>
      <c r="B690" s="286"/>
      <c r="C690" s="287"/>
      <c r="D690" s="286"/>
      <c r="E690" s="286"/>
      <c r="F690" s="286"/>
    </row>
    <row r="691" spans="1:6" x14ac:dyDescent="0.2">
      <c r="A691" s="285"/>
      <c r="B691" s="286"/>
      <c r="C691" s="287"/>
      <c r="D691" s="286"/>
      <c r="E691" s="286"/>
      <c r="F691" s="286"/>
    </row>
    <row r="692" spans="1:6" x14ac:dyDescent="0.2">
      <c r="A692" s="285"/>
      <c r="B692" s="286"/>
      <c r="C692" s="287"/>
      <c r="D692" s="286"/>
      <c r="E692" s="286"/>
      <c r="F692" s="286"/>
    </row>
    <row r="693" spans="1:6" x14ac:dyDescent="0.2">
      <c r="A693" s="285"/>
      <c r="B693" s="286"/>
      <c r="C693" s="287"/>
      <c r="D693" s="286"/>
      <c r="E693" s="286"/>
      <c r="F693" s="286"/>
    </row>
    <row r="694" spans="1:6" x14ac:dyDescent="0.2">
      <c r="A694" s="285"/>
      <c r="B694" s="286"/>
      <c r="C694" s="287"/>
      <c r="D694" s="286"/>
      <c r="E694" s="286"/>
      <c r="F694" s="286"/>
    </row>
    <row r="695" spans="1:6" x14ac:dyDescent="0.2">
      <c r="A695" s="285"/>
      <c r="B695" s="286"/>
      <c r="C695" s="287"/>
      <c r="D695" s="286"/>
      <c r="E695" s="286"/>
      <c r="F695" s="286"/>
    </row>
    <row r="696" spans="1:6" x14ac:dyDescent="0.2">
      <c r="A696" s="285"/>
      <c r="B696" s="286"/>
      <c r="C696" s="287"/>
      <c r="D696" s="286"/>
      <c r="E696" s="286"/>
      <c r="F696" s="286"/>
    </row>
    <row r="697" spans="1:6" x14ac:dyDescent="0.2">
      <c r="A697" s="285"/>
      <c r="B697" s="286"/>
      <c r="C697" s="287"/>
      <c r="D697" s="286"/>
      <c r="E697" s="286"/>
      <c r="F697" s="286"/>
    </row>
    <row r="698" spans="1:6" x14ac:dyDescent="0.2">
      <c r="A698" s="285"/>
      <c r="B698" s="286"/>
      <c r="C698" s="287"/>
      <c r="D698" s="286"/>
      <c r="E698" s="286"/>
      <c r="F698" s="286"/>
    </row>
    <row r="699" spans="1:6" x14ac:dyDescent="0.2">
      <c r="A699" s="285"/>
      <c r="B699" s="286"/>
      <c r="C699" s="287"/>
      <c r="D699" s="286"/>
      <c r="E699" s="286"/>
      <c r="F699" s="286"/>
    </row>
    <row r="700" spans="1:6" x14ac:dyDescent="0.2">
      <c r="A700" s="285"/>
      <c r="B700" s="286"/>
      <c r="C700" s="287"/>
      <c r="D700" s="286"/>
      <c r="E700" s="286"/>
      <c r="F700" s="286"/>
    </row>
    <row r="701" spans="1:6" x14ac:dyDescent="0.2">
      <c r="A701" s="285"/>
      <c r="B701" s="286"/>
      <c r="C701" s="287"/>
      <c r="D701" s="286"/>
      <c r="E701" s="286"/>
      <c r="F701" s="286"/>
    </row>
    <row r="702" spans="1:6" x14ac:dyDescent="0.2">
      <c r="A702" s="285"/>
      <c r="B702" s="286"/>
      <c r="C702" s="287"/>
      <c r="D702" s="286"/>
      <c r="E702" s="286"/>
      <c r="F702" s="286"/>
    </row>
    <row r="703" spans="1:6" x14ac:dyDescent="0.2">
      <c r="A703" s="285"/>
      <c r="B703" s="286"/>
      <c r="C703" s="287"/>
      <c r="D703" s="286"/>
      <c r="E703" s="286"/>
      <c r="F703" s="286"/>
    </row>
    <row r="704" spans="1:6" x14ac:dyDescent="0.2">
      <c r="A704" s="285"/>
      <c r="B704" s="286"/>
      <c r="C704" s="287"/>
      <c r="D704" s="286"/>
      <c r="E704" s="286"/>
      <c r="F704" s="286"/>
    </row>
    <row r="705" spans="1:6" x14ac:dyDescent="0.2">
      <c r="A705" s="285"/>
      <c r="B705" s="286"/>
      <c r="C705" s="287"/>
      <c r="D705" s="286"/>
      <c r="E705" s="286"/>
      <c r="F705" s="286"/>
    </row>
    <row r="706" spans="1:6" x14ac:dyDescent="0.2">
      <c r="A706" s="285"/>
      <c r="B706" s="286"/>
      <c r="C706" s="287"/>
      <c r="D706" s="286"/>
      <c r="E706" s="286"/>
      <c r="F706" s="286"/>
    </row>
    <row r="707" spans="1:6" x14ac:dyDescent="0.2">
      <c r="A707" s="285"/>
      <c r="B707" s="286"/>
      <c r="C707" s="287"/>
      <c r="D707" s="286"/>
      <c r="E707" s="286"/>
      <c r="F707" s="286"/>
    </row>
    <row r="708" spans="1:6" x14ac:dyDescent="0.2">
      <c r="A708" s="285"/>
      <c r="B708" s="286"/>
      <c r="C708" s="287"/>
      <c r="D708" s="286"/>
      <c r="E708" s="286"/>
      <c r="F708" s="286"/>
    </row>
    <row r="709" spans="1:6" x14ac:dyDescent="0.2">
      <c r="A709" s="285"/>
      <c r="B709" s="286"/>
      <c r="C709" s="287"/>
      <c r="D709" s="286"/>
      <c r="E709" s="286"/>
      <c r="F709" s="286"/>
    </row>
    <row r="710" spans="1:6" x14ac:dyDescent="0.2">
      <c r="A710" s="285"/>
      <c r="B710" s="286"/>
      <c r="C710" s="287"/>
      <c r="D710" s="286"/>
      <c r="E710" s="286"/>
      <c r="F710" s="286"/>
    </row>
    <row r="711" spans="1:6" x14ac:dyDescent="0.2">
      <c r="A711" s="285"/>
      <c r="B711" s="286"/>
      <c r="C711" s="287"/>
      <c r="D711" s="286"/>
      <c r="E711" s="286"/>
      <c r="F711" s="286"/>
    </row>
    <row r="712" spans="1:6" x14ac:dyDescent="0.2">
      <c r="A712" s="285"/>
      <c r="B712" s="286"/>
      <c r="C712" s="287"/>
      <c r="D712" s="286"/>
      <c r="E712" s="286"/>
      <c r="F712" s="286"/>
    </row>
    <row r="713" spans="1:6" x14ac:dyDescent="0.2">
      <c r="A713" s="285"/>
      <c r="B713" s="286"/>
      <c r="C713" s="287"/>
      <c r="D713" s="286"/>
      <c r="E713" s="286"/>
      <c r="F713" s="286"/>
    </row>
    <row r="714" spans="1:6" x14ac:dyDescent="0.2">
      <c r="A714" s="285"/>
      <c r="B714" s="286"/>
      <c r="C714" s="287"/>
      <c r="D714" s="286"/>
      <c r="E714" s="286"/>
      <c r="F714" s="286"/>
    </row>
    <row r="715" spans="1:6" x14ac:dyDescent="0.2">
      <c r="A715" s="285"/>
      <c r="B715" s="286"/>
      <c r="C715" s="287"/>
      <c r="D715" s="286"/>
      <c r="E715" s="286"/>
      <c r="F715" s="286"/>
    </row>
    <row r="716" spans="1:6" x14ac:dyDescent="0.2">
      <c r="A716" s="285"/>
      <c r="B716" s="286"/>
      <c r="C716" s="287"/>
      <c r="D716" s="286"/>
      <c r="E716" s="286"/>
      <c r="F716" s="286"/>
    </row>
    <row r="717" spans="1:6" x14ac:dyDescent="0.2">
      <c r="A717" s="285"/>
      <c r="B717" s="286"/>
      <c r="C717" s="287"/>
      <c r="D717" s="286"/>
      <c r="E717" s="286"/>
      <c r="F717" s="286"/>
    </row>
    <row r="718" spans="1:6" x14ac:dyDescent="0.2">
      <c r="A718" s="285"/>
      <c r="B718" s="286"/>
      <c r="C718" s="287"/>
      <c r="D718" s="286"/>
      <c r="E718" s="286"/>
      <c r="F718" s="286"/>
    </row>
    <row r="719" spans="1:6" x14ac:dyDescent="0.2">
      <c r="A719" s="285"/>
      <c r="B719" s="286"/>
      <c r="C719" s="287"/>
      <c r="D719" s="286"/>
      <c r="E719" s="286"/>
      <c r="F719" s="286"/>
    </row>
    <row r="720" spans="1:6" x14ac:dyDescent="0.2">
      <c r="A720" s="285"/>
      <c r="B720" s="286"/>
      <c r="C720" s="287"/>
      <c r="D720" s="286"/>
      <c r="E720" s="286"/>
      <c r="F720" s="286"/>
    </row>
    <row r="721" spans="1:6" x14ac:dyDescent="0.2">
      <c r="A721" s="285"/>
      <c r="B721" s="286"/>
      <c r="C721" s="287"/>
      <c r="D721" s="286"/>
      <c r="E721" s="286"/>
      <c r="F721" s="286"/>
    </row>
    <row r="722" spans="1:6" x14ac:dyDescent="0.2">
      <c r="A722" s="285"/>
      <c r="B722" s="286"/>
      <c r="C722" s="287"/>
      <c r="D722" s="286"/>
      <c r="E722" s="286"/>
      <c r="F722" s="286"/>
    </row>
    <row r="723" spans="1:6" x14ac:dyDescent="0.2">
      <c r="A723" s="285"/>
      <c r="B723" s="286"/>
      <c r="C723" s="287"/>
      <c r="D723" s="286"/>
      <c r="E723" s="286"/>
      <c r="F723" s="286"/>
    </row>
    <row r="724" spans="1:6" x14ac:dyDescent="0.2">
      <c r="A724" s="285"/>
      <c r="B724" s="286"/>
      <c r="C724" s="287"/>
      <c r="D724" s="286"/>
      <c r="E724" s="286"/>
      <c r="F724" s="286"/>
    </row>
    <row r="725" spans="1:6" x14ac:dyDescent="0.2">
      <c r="A725" s="285"/>
      <c r="B725" s="286"/>
      <c r="C725" s="287"/>
      <c r="D725" s="286"/>
      <c r="E725" s="286"/>
      <c r="F725" s="286"/>
    </row>
    <row r="726" spans="1:6" x14ac:dyDescent="0.2">
      <c r="A726" s="285"/>
      <c r="B726" s="286"/>
      <c r="C726" s="287"/>
      <c r="D726" s="286"/>
      <c r="E726" s="286"/>
      <c r="F726" s="286"/>
    </row>
    <row r="727" spans="1:6" x14ac:dyDescent="0.2">
      <c r="A727" s="285"/>
      <c r="B727" s="286"/>
      <c r="C727" s="287"/>
      <c r="D727" s="286"/>
      <c r="E727" s="286"/>
      <c r="F727" s="286"/>
    </row>
    <row r="728" spans="1:6" x14ac:dyDescent="0.2">
      <c r="A728" s="285"/>
      <c r="B728" s="286"/>
      <c r="C728" s="287"/>
      <c r="D728" s="286"/>
      <c r="E728" s="286"/>
      <c r="F728" s="286"/>
    </row>
    <row r="729" spans="1:6" x14ac:dyDescent="0.2">
      <c r="A729" s="285"/>
      <c r="B729" s="286"/>
      <c r="C729" s="287"/>
      <c r="D729" s="286"/>
      <c r="E729" s="286"/>
      <c r="F729" s="286"/>
    </row>
    <row r="730" spans="1:6" x14ac:dyDescent="0.2">
      <c r="A730" s="285"/>
      <c r="B730" s="286"/>
      <c r="C730" s="287"/>
      <c r="D730" s="286"/>
      <c r="E730" s="286"/>
      <c r="F730" s="286"/>
    </row>
    <row r="731" spans="1:6" x14ac:dyDescent="0.2">
      <c r="A731" s="285"/>
      <c r="B731" s="286"/>
      <c r="C731" s="287"/>
      <c r="D731" s="286"/>
      <c r="E731" s="286"/>
      <c r="F731" s="286"/>
    </row>
    <row r="732" spans="1:6" x14ac:dyDescent="0.2">
      <c r="A732" s="285"/>
      <c r="B732" s="286"/>
      <c r="C732" s="287"/>
      <c r="D732" s="286"/>
      <c r="E732" s="286"/>
      <c r="F732" s="286"/>
    </row>
    <row r="733" spans="1:6" x14ac:dyDescent="0.2">
      <c r="A733" s="285"/>
      <c r="B733" s="286"/>
      <c r="C733" s="287"/>
      <c r="D733" s="286"/>
      <c r="E733" s="286"/>
      <c r="F733" s="286"/>
    </row>
    <row r="734" spans="1:6" x14ac:dyDescent="0.2">
      <c r="A734" s="285"/>
      <c r="B734" s="286"/>
      <c r="C734" s="287"/>
      <c r="D734" s="286"/>
      <c r="E734" s="286"/>
      <c r="F734" s="286"/>
    </row>
    <row r="735" spans="1:6" x14ac:dyDescent="0.2">
      <c r="A735" s="285"/>
      <c r="B735" s="286"/>
      <c r="C735" s="287"/>
      <c r="D735" s="286"/>
      <c r="E735" s="286"/>
      <c r="F735" s="286"/>
    </row>
    <row r="736" spans="1:6" x14ac:dyDescent="0.2">
      <c r="A736" s="285"/>
      <c r="B736" s="286"/>
      <c r="C736" s="287"/>
      <c r="D736" s="286"/>
      <c r="E736" s="286"/>
      <c r="F736" s="286"/>
    </row>
    <row r="737" spans="1:6" x14ac:dyDescent="0.2">
      <c r="A737" s="285"/>
      <c r="B737" s="286"/>
      <c r="C737" s="287"/>
      <c r="D737" s="286"/>
      <c r="E737" s="286"/>
      <c r="F737" s="286"/>
    </row>
    <row r="738" spans="1:6" x14ac:dyDescent="0.2">
      <c r="A738" s="285"/>
      <c r="B738" s="286"/>
      <c r="C738" s="287"/>
      <c r="D738" s="286"/>
      <c r="E738" s="286"/>
      <c r="F738" s="286"/>
    </row>
    <row r="739" spans="1:6" x14ac:dyDescent="0.2">
      <c r="A739" s="285"/>
      <c r="B739" s="286"/>
      <c r="C739" s="287"/>
      <c r="D739" s="286"/>
      <c r="E739" s="286"/>
      <c r="F739" s="286"/>
    </row>
    <row r="740" spans="1:6" x14ac:dyDescent="0.2">
      <c r="A740" s="285"/>
      <c r="B740" s="286"/>
      <c r="C740" s="287"/>
      <c r="D740" s="286"/>
      <c r="E740" s="286"/>
      <c r="F740" s="286"/>
    </row>
    <row r="741" spans="1:6" x14ac:dyDescent="0.2">
      <c r="A741" s="285"/>
      <c r="B741" s="286"/>
      <c r="C741" s="287"/>
      <c r="D741" s="286"/>
      <c r="E741" s="286"/>
      <c r="F741" s="286"/>
    </row>
    <row r="742" spans="1:6" x14ac:dyDescent="0.2">
      <c r="A742" s="285"/>
      <c r="B742" s="286"/>
      <c r="C742" s="287"/>
      <c r="D742" s="286"/>
      <c r="E742" s="286"/>
      <c r="F742" s="286"/>
    </row>
    <row r="743" spans="1:6" x14ac:dyDescent="0.2">
      <c r="A743" s="285"/>
      <c r="B743" s="286"/>
      <c r="C743" s="287"/>
      <c r="D743" s="286"/>
      <c r="E743" s="286"/>
      <c r="F743" s="286"/>
    </row>
    <row r="744" spans="1:6" x14ac:dyDescent="0.2">
      <c r="A744" s="285"/>
      <c r="B744" s="286"/>
      <c r="C744" s="287"/>
      <c r="D744" s="286"/>
      <c r="E744" s="286"/>
      <c r="F744" s="286"/>
    </row>
    <row r="745" spans="1:6" x14ac:dyDescent="0.2">
      <c r="A745" s="285"/>
      <c r="B745" s="286"/>
      <c r="C745" s="287"/>
      <c r="D745" s="286"/>
      <c r="E745" s="286"/>
      <c r="F745" s="286"/>
    </row>
    <row r="746" spans="1:6" x14ac:dyDescent="0.2">
      <c r="A746" s="285"/>
      <c r="B746" s="286"/>
      <c r="C746" s="287"/>
      <c r="D746" s="286"/>
      <c r="E746" s="286"/>
      <c r="F746" s="286"/>
    </row>
    <row r="747" spans="1:6" x14ac:dyDescent="0.2">
      <c r="A747" s="285"/>
      <c r="B747" s="286"/>
      <c r="C747" s="287"/>
      <c r="D747" s="286"/>
      <c r="E747" s="286"/>
      <c r="F747" s="286"/>
    </row>
    <row r="748" spans="1:6" x14ac:dyDescent="0.2">
      <c r="A748" s="285"/>
      <c r="B748" s="286"/>
      <c r="C748" s="287"/>
      <c r="D748" s="286"/>
      <c r="E748" s="286"/>
      <c r="F748" s="286"/>
    </row>
    <row r="749" spans="1:6" x14ac:dyDescent="0.2">
      <c r="A749" s="285"/>
      <c r="B749" s="286"/>
      <c r="C749" s="287"/>
      <c r="D749" s="286"/>
      <c r="E749" s="286"/>
      <c r="F749" s="286"/>
    </row>
    <row r="750" spans="1:6" x14ac:dyDescent="0.2">
      <c r="A750" s="285"/>
      <c r="B750" s="286"/>
      <c r="C750" s="287"/>
      <c r="D750" s="286"/>
      <c r="E750" s="286"/>
      <c r="F750" s="286"/>
    </row>
    <row r="751" spans="1:6" x14ac:dyDescent="0.2">
      <c r="A751" s="285"/>
      <c r="B751" s="286"/>
      <c r="C751" s="287"/>
      <c r="D751" s="286"/>
      <c r="E751" s="286"/>
      <c r="F751" s="286"/>
    </row>
    <row r="752" spans="1:6" x14ac:dyDescent="0.2">
      <c r="A752" s="285"/>
      <c r="B752" s="286"/>
      <c r="C752" s="287"/>
      <c r="D752" s="286"/>
      <c r="E752" s="286"/>
      <c r="F752" s="286"/>
    </row>
    <row r="753" spans="1:6" x14ac:dyDescent="0.2">
      <c r="A753" s="285"/>
      <c r="B753" s="286"/>
      <c r="C753" s="287"/>
      <c r="D753" s="286"/>
      <c r="E753" s="286"/>
      <c r="F753" s="286"/>
    </row>
    <row r="754" spans="1:6" x14ac:dyDescent="0.2">
      <c r="A754" s="285"/>
      <c r="B754" s="286"/>
      <c r="C754" s="287"/>
      <c r="D754" s="286"/>
      <c r="E754" s="286"/>
      <c r="F754" s="286"/>
    </row>
    <row r="755" spans="1:6" x14ac:dyDescent="0.2">
      <c r="A755" s="285"/>
      <c r="B755" s="286"/>
      <c r="C755" s="287"/>
      <c r="D755" s="286"/>
      <c r="E755" s="286"/>
      <c r="F755" s="286"/>
    </row>
    <row r="756" spans="1:6" x14ac:dyDescent="0.2">
      <c r="A756" s="285"/>
      <c r="B756" s="286"/>
      <c r="C756" s="287"/>
      <c r="D756" s="286"/>
      <c r="E756" s="286"/>
      <c r="F756" s="286"/>
    </row>
    <row r="757" spans="1:6" x14ac:dyDescent="0.2">
      <c r="A757" s="285"/>
      <c r="B757" s="286"/>
      <c r="C757" s="287"/>
      <c r="D757" s="286"/>
      <c r="E757" s="286"/>
      <c r="F757" s="286"/>
    </row>
    <row r="758" spans="1:6" x14ac:dyDescent="0.2">
      <c r="A758" s="285"/>
      <c r="B758" s="286"/>
      <c r="C758" s="287"/>
      <c r="D758" s="286"/>
      <c r="E758" s="286"/>
      <c r="F758" s="286"/>
    </row>
    <row r="759" spans="1:6" x14ac:dyDescent="0.2">
      <c r="A759" s="285"/>
      <c r="B759" s="286"/>
      <c r="C759" s="287"/>
      <c r="D759" s="286"/>
      <c r="E759" s="286"/>
      <c r="F759" s="286"/>
    </row>
    <row r="760" spans="1:6" x14ac:dyDescent="0.2">
      <c r="A760" s="285"/>
      <c r="B760" s="286"/>
      <c r="C760" s="287"/>
      <c r="D760" s="286"/>
      <c r="E760" s="286"/>
      <c r="F760" s="286"/>
    </row>
    <row r="761" spans="1:6" x14ac:dyDescent="0.2">
      <c r="A761" s="285"/>
      <c r="B761" s="286"/>
      <c r="C761" s="287"/>
      <c r="D761" s="286"/>
      <c r="E761" s="286"/>
      <c r="F761" s="286"/>
    </row>
    <row r="762" spans="1:6" x14ac:dyDescent="0.2">
      <c r="A762" s="285"/>
      <c r="B762" s="286"/>
      <c r="C762" s="287"/>
      <c r="D762" s="286"/>
      <c r="E762" s="286"/>
      <c r="F762" s="286"/>
    </row>
    <row r="763" spans="1:6" x14ac:dyDescent="0.2">
      <c r="A763" s="285"/>
      <c r="B763" s="286"/>
      <c r="C763" s="287"/>
      <c r="D763" s="286"/>
      <c r="E763" s="286"/>
      <c r="F763" s="286"/>
    </row>
    <row r="764" spans="1:6" x14ac:dyDescent="0.2">
      <c r="A764" s="285"/>
      <c r="B764" s="286"/>
      <c r="C764" s="287"/>
      <c r="D764" s="286"/>
      <c r="E764" s="286"/>
      <c r="F764" s="286"/>
    </row>
    <row r="765" spans="1:6" x14ac:dyDescent="0.2">
      <c r="A765" s="285"/>
      <c r="B765" s="286"/>
      <c r="C765" s="287"/>
      <c r="D765" s="286"/>
      <c r="E765" s="286"/>
      <c r="F765" s="286"/>
    </row>
    <row r="766" spans="1:6" x14ac:dyDescent="0.2">
      <c r="A766" s="285"/>
      <c r="B766" s="286"/>
      <c r="C766" s="287"/>
      <c r="D766" s="286"/>
      <c r="E766" s="286"/>
      <c r="F766" s="286"/>
    </row>
    <row r="767" spans="1:6" x14ac:dyDescent="0.2">
      <c r="A767" s="285"/>
      <c r="B767" s="286"/>
      <c r="C767" s="287"/>
      <c r="D767" s="286"/>
      <c r="E767" s="286"/>
      <c r="F767" s="286"/>
    </row>
    <row r="768" spans="1:6" x14ac:dyDescent="0.2">
      <c r="A768" s="285"/>
      <c r="B768" s="286"/>
      <c r="C768" s="287"/>
      <c r="D768" s="286"/>
      <c r="E768" s="286"/>
      <c r="F768" s="286"/>
    </row>
    <row r="769" spans="1:6" x14ac:dyDescent="0.2">
      <c r="A769" s="285"/>
      <c r="B769" s="286"/>
      <c r="C769" s="287"/>
      <c r="D769" s="286"/>
      <c r="E769" s="286"/>
      <c r="F769" s="286"/>
    </row>
    <row r="770" spans="1:6" x14ac:dyDescent="0.2">
      <c r="A770" s="285"/>
      <c r="B770" s="286"/>
      <c r="C770" s="287"/>
      <c r="D770" s="286"/>
      <c r="E770" s="286"/>
      <c r="F770" s="286"/>
    </row>
    <row r="771" spans="1:6" x14ac:dyDescent="0.2">
      <c r="A771" s="285"/>
      <c r="B771" s="286"/>
      <c r="C771" s="287"/>
      <c r="D771" s="286"/>
      <c r="E771" s="286"/>
      <c r="F771" s="286"/>
    </row>
    <row r="772" spans="1:6" x14ac:dyDescent="0.2">
      <c r="A772" s="285"/>
      <c r="B772" s="286"/>
      <c r="C772" s="287"/>
      <c r="D772" s="286"/>
      <c r="E772" s="286"/>
      <c r="F772" s="286"/>
    </row>
    <row r="773" spans="1:6" x14ac:dyDescent="0.2">
      <c r="A773" s="285"/>
      <c r="B773" s="286"/>
      <c r="C773" s="287"/>
      <c r="D773" s="286"/>
      <c r="E773" s="286"/>
      <c r="F773" s="286"/>
    </row>
    <row r="774" spans="1:6" x14ac:dyDescent="0.2">
      <c r="A774" s="285"/>
      <c r="B774" s="286"/>
      <c r="C774" s="287"/>
      <c r="D774" s="286"/>
      <c r="E774" s="286"/>
      <c r="F774" s="286"/>
    </row>
    <row r="775" spans="1:6" x14ac:dyDescent="0.2">
      <c r="A775" s="285"/>
      <c r="B775" s="286"/>
      <c r="C775" s="287"/>
      <c r="D775" s="286"/>
      <c r="E775" s="286"/>
      <c r="F775" s="286"/>
    </row>
    <row r="776" spans="1:6" x14ac:dyDescent="0.2">
      <c r="A776" s="285"/>
      <c r="B776" s="286"/>
      <c r="C776" s="287"/>
      <c r="D776" s="286"/>
      <c r="E776" s="286"/>
      <c r="F776" s="286"/>
    </row>
    <row r="777" spans="1:6" x14ac:dyDescent="0.2">
      <c r="A777" s="285"/>
      <c r="B777" s="286"/>
      <c r="C777" s="287"/>
      <c r="D777" s="286"/>
      <c r="E777" s="286"/>
      <c r="F777" s="286"/>
    </row>
    <row r="778" spans="1:6" x14ac:dyDescent="0.2">
      <c r="A778" s="285"/>
      <c r="B778" s="286"/>
      <c r="C778" s="287"/>
      <c r="D778" s="286"/>
      <c r="E778" s="286"/>
      <c r="F778" s="286"/>
    </row>
    <row r="779" spans="1:6" x14ac:dyDescent="0.2">
      <c r="A779" s="285"/>
      <c r="B779" s="286"/>
      <c r="C779" s="287"/>
      <c r="D779" s="286"/>
      <c r="E779" s="286"/>
      <c r="F779" s="286"/>
    </row>
    <row r="780" spans="1:6" x14ac:dyDescent="0.2">
      <c r="A780" s="285"/>
      <c r="B780" s="286"/>
      <c r="C780" s="287"/>
      <c r="D780" s="286"/>
      <c r="E780" s="286"/>
      <c r="F780" s="286"/>
    </row>
    <row r="781" spans="1:6" x14ac:dyDescent="0.2">
      <c r="A781" s="285"/>
      <c r="B781" s="286"/>
      <c r="C781" s="287"/>
      <c r="D781" s="286"/>
      <c r="E781" s="286"/>
      <c r="F781" s="286"/>
    </row>
    <row r="782" spans="1:6" x14ac:dyDescent="0.2">
      <c r="A782" s="285"/>
      <c r="B782" s="286"/>
      <c r="C782" s="287"/>
      <c r="D782" s="286"/>
      <c r="E782" s="286"/>
      <c r="F782" s="286"/>
    </row>
    <row r="783" spans="1:6" x14ac:dyDescent="0.2">
      <c r="A783" s="285"/>
      <c r="B783" s="286"/>
      <c r="C783" s="287"/>
      <c r="D783" s="286"/>
      <c r="E783" s="286"/>
      <c r="F783" s="286"/>
    </row>
    <row r="784" spans="1:6" x14ac:dyDescent="0.2">
      <c r="A784" s="285"/>
      <c r="B784" s="286"/>
      <c r="C784" s="287"/>
      <c r="D784" s="286"/>
      <c r="E784" s="286"/>
      <c r="F784" s="286"/>
    </row>
    <row r="785" spans="1:6" x14ac:dyDescent="0.2">
      <c r="A785" s="285"/>
      <c r="B785" s="286"/>
      <c r="C785" s="287"/>
      <c r="D785" s="286"/>
      <c r="E785" s="286"/>
      <c r="F785" s="286"/>
    </row>
    <row r="786" spans="1:6" x14ac:dyDescent="0.2">
      <c r="A786" s="285"/>
      <c r="B786" s="286"/>
      <c r="C786" s="287"/>
      <c r="D786" s="286"/>
      <c r="E786" s="286"/>
      <c r="F786" s="286"/>
    </row>
    <row r="787" spans="1:6" x14ac:dyDescent="0.2">
      <c r="A787" s="285"/>
      <c r="B787" s="286"/>
      <c r="C787" s="287"/>
      <c r="D787" s="286"/>
      <c r="E787" s="286"/>
      <c r="F787" s="286"/>
    </row>
    <row r="788" spans="1:6" x14ac:dyDescent="0.2">
      <c r="A788" s="285"/>
      <c r="B788" s="286"/>
      <c r="C788" s="287"/>
      <c r="D788" s="286"/>
      <c r="E788" s="286"/>
      <c r="F788" s="286"/>
    </row>
    <row r="789" spans="1:6" x14ac:dyDescent="0.2">
      <c r="A789" s="285"/>
      <c r="B789" s="286"/>
      <c r="C789" s="287"/>
      <c r="D789" s="286"/>
      <c r="E789" s="286"/>
      <c r="F789" s="286"/>
    </row>
    <row r="790" spans="1:6" x14ac:dyDescent="0.2">
      <c r="A790" s="285"/>
      <c r="B790" s="286"/>
      <c r="C790" s="287"/>
      <c r="D790" s="286"/>
      <c r="E790" s="286"/>
      <c r="F790" s="286"/>
    </row>
    <row r="791" spans="1:6" x14ac:dyDescent="0.2">
      <c r="A791" s="285"/>
      <c r="B791" s="286"/>
      <c r="C791" s="287"/>
      <c r="D791" s="286"/>
      <c r="E791" s="286"/>
      <c r="F791" s="286"/>
    </row>
    <row r="792" spans="1:6" x14ac:dyDescent="0.2">
      <c r="A792" s="285"/>
      <c r="B792" s="286"/>
      <c r="C792" s="287"/>
      <c r="D792" s="286"/>
      <c r="E792" s="286"/>
      <c r="F792" s="286"/>
    </row>
    <row r="793" spans="1:6" x14ac:dyDescent="0.2">
      <c r="A793" s="285"/>
      <c r="B793" s="286"/>
      <c r="C793" s="287"/>
      <c r="D793" s="286"/>
      <c r="E793" s="286"/>
      <c r="F793" s="286"/>
    </row>
    <row r="794" spans="1:6" x14ac:dyDescent="0.2">
      <c r="A794" s="285"/>
      <c r="B794" s="286"/>
      <c r="C794" s="287"/>
      <c r="D794" s="286"/>
      <c r="E794" s="286"/>
      <c r="F794" s="286"/>
    </row>
    <row r="795" spans="1:6" x14ac:dyDescent="0.2">
      <c r="A795" s="285"/>
      <c r="B795" s="286"/>
      <c r="C795" s="287"/>
      <c r="D795" s="286"/>
      <c r="E795" s="286"/>
      <c r="F795" s="286"/>
    </row>
    <row r="796" spans="1:6" x14ac:dyDescent="0.2">
      <c r="A796" s="285"/>
      <c r="B796" s="286"/>
      <c r="C796" s="287"/>
      <c r="D796" s="286"/>
      <c r="E796" s="286"/>
      <c r="F796" s="286"/>
    </row>
    <row r="797" spans="1:6" x14ac:dyDescent="0.2">
      <c r="A797" s="285"/>
      <c r="B797" s="286"/>
      <c r="C797" s="287"/>
      <c r="D797" s="286"/>
      <c r="E797" s="286"/>
      <c r="F797" s="286"/>
    </row>
    <row r="798" spans="1:6" x14ac:dyDescent="0.2">
      <c r="A798" s="285"/>
      <c r="B798" s="286"/>
      <c r="C798" s="287"/>
      <c r="D798" s="286"/>
      <c r="E798" s="286"/>
      <c r="F798" s="286"/>
    </row>
    <row r="799" spans="1:6" x14ac:dyDescent="0.2">
      <c r="A799" s="285"/>
      <c r="B799" s="286"/>
      <c r="C799" s="287"/>
      <c r="D799" s="286"/>
      <c r="E799" s="286"/>
      <c r="F799" s="286"/>
    </row>
    <row r="800" spans="1:6" x14ac:dyDescent="0.2">
      <c r="A800" s="285"/>
      <c r="B800" s="286"/>
      <c r="C800" s="287"/>
      <c r="D800" s="286"/>
      <c r="E800" s="286"/>
      <c r="F800" s="286"/>
    </row>
    <row r="801" spans="1:6" x14ac:dyDescent="0.2">
      <c r="A801" s="285"/>
      <c r="B801" s="286"/>
      <c r="C801" s="287"/>
      <c r="D801" s="286"/>
      <c r="E801" s="286"/>
      <c r="F801" s="286"/>
    </row>
    <row r="802" spans="1:6" x14ac:dyDescent="0.2">
      <c r="A802" s="285"/>
      <c r="B802" s="286"/>
      <c r="C802" s="287"/>
      <c r="D802" s="286"/>
      <c r="E802" s="286"/>
      <c r="F802" s="286"/>
    </row>
    <row r="803" spans="1:6" x14ac:dyDescent="0.2">
      <c r="A803" s="285"/>
      <c r="B803" s="286"/>
      <c r="C803" s="287"/>
      <c r="D803" s="286"/>
      <c r="E803" s="286"/>
      <c r="F803" s="286"/>
    </row>
    <row r="804" spans="1:6" x14ac:dyDescent="0.2">
      <c r="A804" s="285"/>
      <c r="B804" s="286"/>
      <c r="C804" s="287"/>
      <c r="D804" s="286"/>
      <c r="E804" s="286"/>
      <c r="F804" s="286"/>
    </row>
    <row r="805" spans="1:6" x14ac:dyDescent="0.2">
      <c r="A805" s="285"/>
      <c r="B805" s="286"/>
      <c r="C805" s="287"/>
      <c r="D805" s="286"/>
      <c r="E805" s="286"/>
      <c r="F805" s="286"/>
    </row>
    <row r="806" spans="1:6" x14ac:dyDescent="0.2">
      <c r="A806" s="285"/>
      <c r="B806" s="286"/>
      <c r="C806" s="287"/>
      <c r="D806" s="286"/>
      <c r="E806" s="286"/>
      <c r="F806" s="286"/>
    </row>
    <row r="807" spans="1:6" x14ac:dyDescent="0.2">
      <c r="A807" s="285"/>
      <c r="B807" s="286"/>
      <c r="C807" s="287"/>
      <c r="D807" s="286"/>
      <c r="E807" s="286"/>
      <c r="F807" s="286"/>
    </row>
    <row r="808" spans="1:6" x14ac:dyDescent="0.2">
      <c r="A808" s="285"/>
      <c r="B808" s="286"/>
      <c r="C808" s="287"/>
      <c r="D808" s="286"/>
      <c r="E808" s="286"/>
      <c r="F808" s="286"/>
    </row>
    <row r="809" spans="1:6" x14ac:dyDescent="0.2">
      <c r="A809" s="285"/>
      <c r="B809" s="286"/>
      <c r="C809" s="287"/>
      <c r="D809" s="286"/>
      <c r="E809" s="286"/>
      <c r="F809" s="286"/>
    </row>
    <row r="810" spans="1:6" x14ac:dyDescent="0.2">
      <c r="A810" s="285"/>
      <c r="B810" s="286"/>
      <c r="C810" s="287"/>
      <c r="D810" s="286"/>
      <c r="E810" s="286"/>
      <c r="F810" s="286"/>
    </row>
    <row r="811" spans="1:6" x14ac:dyDescent="0.2">
      <c r="A811" s="285"/>
      <c r="B811" s="286"/>
      <c r="C811" s="287"/>
      <c r="D811" s="286"/>
      <c r="E811" s="286"/>
      <c r="F811" s="286"/>
    </row>
    <row r="812" spans="1:6" x14ac:dyDescent="0.2">
      <c r="A812" s="285"/>
      <c r="B812" s="286"/>
      <c r="C812" s="287"/>
      <c r="D812" s="286"/>
      <c r="E812" s="286"/>
      <c r="F812" s="286"/>
    </row>
    <row r="813" spans="1:6" x14ac:dyDescent="0.2">
      <c r="A813" s="285"/>
      <c r="B813" s="286"/>
      <c r="C813" s="287"/>
      <c r="D813" s="286"/>
      <c r="E813" s="286"/>
      <c r="F813" s="286"/>
    </row>
    <row r="814" spans="1:6" x14ac:dyDescent="0.2">
      <c r="A814" s="285"/>
      <c r="B814" s="286"/>
      <c r="C814" s="287"/>
      <c r="D814" s="286"/>
      <c r="E814" s="286"/>
      <c r="F814" s="286"/>
    </row>
    <row r="815" spans="1:6" x14ac:dyDescent="0.2">
      <c r="A815" s="285"/>
      <c r="B815" s="286"/>
      <c r="C815" s="287"/>
      <c r="D815" s="286"/>
      <c r="E815" s="286"/>
      <c r="F815" s="286"/>
    </row>
    <row r="816" spans="1:6" x14ac:dyDescent="0.2">
      <c r="A816" s="285"/>
      <c r="B816" s="286"/>
      <c r="C816" s="287"/>
      <c r="D816" s="286"/>
      <c r="E816" s="286"/>
      <c r="F816" s="286"/>
    </row>
    <row r="817" spans="1:6" x14ac:dyDescent="0.2">
      <c r="A817" s="285"/>
      <c r="B817" s="286"/>
      <c r="C817" s="287"/>
      <c r="D817" s="286"/>
      <c r="E817" s="286"/>
      <c r="F817" s="286"/>
    </row>
    <row r="818" spans="1:6" x14ac:dyDescent="0.2">
      <c r="A818" s="285"/>
      <c r="B818" s="286"/>
      <c r="C818" s="287"/>
      <c r="D818" s="286"/>
      <c r="E818" s="286"/>
      <c r="F818" s="286"/>
    </row>
    <row r="819" spans="1:6" x14ac:dyDescent="0.2">
      <c r="A819" s="285"/>
      <c r="B819" s="286"/>
      <c r="C819" s="287"/>
      <c r="D819" s="286"/>
      <c r="E819" s="286"/>
      <c r="F819" s="286"/>
    </row>
    <row r="820" spans="1:6" x14ac:dyDescent="0.2">
      <c r="A820" s="285"/>
      <c r="B820" s="286"/>
      <c r="C820" s="287"/>
      <c r="D820" s="286"/>
      <c r="E820" s="286"/>
      <c r="F820" s="286"/>
    </row>
    <row r="821" spans="1:6" x14ac:dyDescent="0.2">
      <c r="A821" s="285"/>
      <c r="B821" s="286"/>
      <c r="C821" s="287"/>
      <c r="D821" s="286"/>
      <c r="E821" s="286"/>
      <c r="F821" s="286"/>
    </row>
    <row r="822" spans="1:6" x14ac:dyDescent="0.2">
      <c r="A822" s="285"/>
      <c r="B822" s="286"/>
      <c r="C822" s="287"/>
      <c r="D822" s="286"/>
      <c r="E822" s="286"/>
      <c r="F822" s="286"/>
    </row>
    <row r="823" spans="1:6" x14ac:dyDescent="0.2">
      <c r="A823" s="285"/>
      <c r="B823" s="286"/>
      <c r="C823" s="287"/>
      <c r="D823" s="286"/>
      <c r="E823" s="286"/>
      <c r="F823" s="286"/>
    </row>
    <row r="824" spans="1:6" x14ac:dyDescent="0.2">
      <c r="A824" s="285"/>
      <c r="B824" s="286"/>
      <c r="C824" s="287"/>
      <c r="D824" s="286"/>
      <c r="E824" s="286"/>
      <c r="F824" s="286"/>
    </row>
    <row r="825" spans="1:6" x14ac:dyDescent="0.2">
      <c r="A825" s="285"/>
      <c r="B825" s="286"/>
      <c r="C825" s="287"/>
      <c r="D825" s="286"/>
      <c r="E825" s="286"/>
      <c r="F825" s="286"/>
    </row>
    <row r="826" spans="1:6" x14ac:dyDescent="0.2">
      <c r="A826" s="285"/>
      <c r="B826" s="286"/>
      <c r="C826" s="287"/>
      <c r="D826" s="286"/>
      <c r="E826" s="286"/>
      <c r="F826" s="286"/>
    </row>
    <row r="827" spans="1:6" x14ac:dyDescent="0.2">
      <c r="A827" s="285"/>
      <c r="B827" s="286"/>
      <c r="C827" s="287"/>
      <c r="D827" s="286"/>
      <c r="E827" s="286"/>
      <c r="F827" s="286"/>
    </row>
    <row r="828" spans="1:6" x14ac:dyDescent="0.2">
      <c r="A828" s="285"/>
      <c r="B828" s="286"/>
      <c r="C828" s="287"/>
      <c r="D828" s="286"/>
      <c r="E828" s="286"/>
      <c r="F828" s="286"/>
    </row>
    <row r="829" spans="1:6" x14ac:dyDescent="0.2">
      <c r="A829" s="285"/>
      <c r="B829" s="286"/>
      <c r="C829" s="287"/>
      <c r="D829" s="286"/>
      <c r="E829" s="286"/>
      <c r="F829" s="286"/>
    </row>
    <row r="830" spans="1:6" x14ac:dyDescent="0.2">
      <c r="A830" s="285"/>
      <c r="B830" s="286"/>
      <c r="C830" s="287"/>
      <c r="D830" s="286"/>
      <c r="E830" s="286"/>
      <c r="F830" s="286"/>
    </row>
    <row r="831" spans="1:6" x14ac:dyDescent="0.2">
      <c r="A831" s="285"/>
      <c r="B831" s="286"/>
      <c r="C831" s="287"/>
      <c r="D831" s="286"/>
      <c r="E831" s="286"/>
      <c r="F831" s="286"/>
    </row>
    <row r="832" spans="1:6" x14ac:dyDescent="0.2">
      <c r="A832" s="285"/>
      <c r="B832" s="286"/>
      <c r="C832" s="287"/>
      <c r="D832" s="286"/>
      <c r="E832" s="286"/>
      <c r="F832" s="286"/>
    </row>
    <row r="833" spans="1:6" x14ac:dyDescent="0.2">
      <c r="A833" s="285"/>
      <c r="B833" s="286"/>
      <c r="C833" s="287"/>
      <c r="D833" s="286"/>
      <c r="E833" s="286"/>
      <c r="F833" s="286"/>
    </row>
    <row r="834" spans="1:6" x14ac:dyDescent="0.2">
      <c r="A834" s="285"/>
      <c r="B834" s="286"/>
      <c r="C834" s="287"/>
      <c r="D834" s="286"/>
      <c r="E834" s="286"/>
      <c r="F834" s="286"/>
    </row>
    <row r="835" spans="1:6" x14ac:dyDescent="0.2">
      <c r="A835" s="285"/>
      <c r="B835" s="286"/>
      <c r="C835" s="287"/>
      <c r="D835" s="286"/>
      <c r="E835" s="286"/>
      <c r="F835" s="286"/>
    </row>
    <row r="836" spans="1:6" x14ac:dyDescent="0.2">
      <c r="A836" s="285"/>
      <c r="B836" s="286"/>
      <c r="C836" s="287"/>
      <c r="D836" s="286"/>
      <c r="E836" s="286"/>
      <c r="F836" s="286"/>
    </row>
    <row r="837" spans="1:6" x14ac:dyDescent="0.2">
      <c r="A837" s="285"/>
      <c r="B837" s="286"/>
      <c r="C837" s="287"/>
      <c r="D837" s="286"/>
      <c r="E837" s="286"/>
      <c r="F837" s="286"/>
    </row>
    <row r="838" spans="1:6" x14ac:dyDescent="0.2">
      <c r="A838" s="285"/>
      <c r="B838" s="286"/>
      <c r="C838" s="287"/>
      <c r="D838" s="286"/>
      <c r="E838" s="286"/>
      <c r="F838" s="286"/>
    </row>
    <row r="839" spans="1:6" x14ac:dyDescent="0.2">
      <c r="A839" s="285"/>
      <c r="B839" s="286"/>
      <c r="C839" s="287"/>
      <c r="D839" s="286"/>
      <c r="E839" s="286"/>
      <c r="F839" s="286"/>
    </row>
    <row r="840" spans="1:6" x14ac:dyDescent="0.2">
      <c r="A840" s="285"/>
      <c r="B840" s="286"/>
      <c r="C840" s="287"/>
      <c r="D840" s="286"/>
      <c r="E840" s="286"/>
      <c r="F840" s="286"/>
    </row>
    <row r="841" spans="1:6" x14ac:dyDescent="0.2">
      <c r="A841" s="285"/>
      <c r="B841" s="286"/>
      <c r="C841" s="287"/>
      <c r="D841" s="286"/>
      <c r="E841" s="286"/>
      <c r="F841" s="286"/>
    </row>
    <row r="842" spans="1:6" x14ac:dyDescent="0.2">
      <c r="A842" s="285"/>
      <c r="B842" s="286"/>
      <c r="C842" s="287"/>
      <c r="D842" s="286"/>
      <c r="E842" s="286"/>
      <c r="F842" s="286"/>
    </row>
    <row r="843" spans="1:6" x14ac:dyDescent="0.2">
      <c r="A843" s="285"/>
      <c r="B843" s="286"/>
      <c r="C843" s="287"/>
      <c r="D843" s="286"/>
      <c r="E843" s="286"/>
      <c r="F843" s="286"/>
    </row>
    <row r="844" spans="1:6" x14ac:dyDescent="0.2">
      <c r="A844" s="285"/>
      <c r="B844" s="286"/>
      <c r="C844" s="287"/>
      <c r="D844" s="286"/>
      <c r="E844" s="286"/>
      <c r="F844" s="286"/>
    </row>
    <row r="845" spans="1:6" x14ac:dyDescent="0.2">
      <c r="A845" s="285"/>
      <c r="B845" s="286"/>
      <c r="C845" s="287"/>
      <c r="D845" s="286"/>
      <c r="E845" s="286"/>
      <c r="F845" s="286"/>
    </row>
    <row r="846" spans="1:6" x14ac:dyDescent="0.2">
      <c r="A846" s="285"/>
      <c r="B846" s="286"/>
      <c r="C846" s="287"/>
      <c r="D846" s="286"/>
      <c r="E846" s="286"/>
      <c r="F846" s="286"/>
    </row>
    <row r="847" spans="1:6" x14ac:dyDescent="0.2">
      <c r="A847" s="285"/>
      <c r="B847" s="286"/>
      <c r="C847" s="287"/>
      <c r="D847" s="286"/>
      <c r="E847" s="286"/>
      <c r="F847" s="286"/>
    </row>
    <row r="848" spans="1:6" x14ac:dyDescent="0.2">
      <c r="A848" s="285"/>
      <c r="B848" s="286"/>
      <c r="C848" s="287"/>
      <c r="D848" s="286"/>
      <c r="E848" s="286"/>
      <c r="F848" s="286"/>
    </row>
    <row r="849" spans="1:6" x14ac:dyDescent="0.2">
      <c r="A849" s="285"/>
      <c r="B849" s="286"/>
      <c r="C849" s="287"/>
      <c r="D849" s="286"/>
      <c r="E849" s="286"/>
      <c r="F849" s="286"/>
    </row>
    <row r="850" spans="1:6" x14ac:dyDescent="0.2">
      <c r="A850" s="285"/>
      <c r="B850" s="286"/>
      <c r="C850" s="287"/>
      <c r="D850" s="286"/>
      <c r="E850" s="286"/>
      <c r="F850" s="286"/>
    </row>
    <row r="851" spans="1:6" x14ac:dyDescent="0.2">
      <c r="A851" s="285"/>
      <c r="B851" s="286"/>
      <c r="C851" s="287"/>
      <c r="D851" s="286"/>
      <c r="E851" s="286"/>
      <c r="F851" s="286"/>
    </row>
    <row r="852" spans="1:6" x14ac:dyDescent="0.2">
      <c r="A852" s="285"/>
      <c r="B852" s="286"/>
      <c r="C852" s="287"/>
      <c r="D852" s="286"/>
      <c r="E852" s="286"/>
      <c r="F852" s="286"/>
    </row>
    <row r="853" spans="1:6" x14ac:dyDescent="0.2">
      <c r="A853" s="285"/>
      <c r="B853" s="286"/>
      <c r="C853" s="287"/>
      <c r="D853" s="286"/>
      <c r="E853" s="286"/>
      <c r="F853" s="286"/>
    </row>
    <row r="854" spans="1:6" x14ac:dyDescent="0.2">
      <c r="A854" s="285"/>
      <c r="B854" s="286"/>
      <c r="C854" s="287"/>
      <c r="D854" s="286"/>
      <c r="E854" s="286"/>
      <c r="F854" s="286"/>
    </row>
    <row r="855" spans="1:6" x14ac:dyDescent="0.2">
      <c r="A855" s="285"/>
      <c r="B855" s="286"/>
      <c r="C855" s="287"/>
      <c r="D855" s="286"/>
      <c r="E855" s="286"/>
      <c r="F855" s="286"/>
    </row>
    <row r="856" spans="1:6" x14ac:dyDescent="0.2">
      <c r="A856" s="285"/>
      <c r="B856" s="286"/>
      <c r="C856" s="287"/>
      <c r="D856" s="286"/>
      <c r="E856" s="286"/>
      <c r="F856" s="286"/>
    </row>
    <row r="857" spans="1:6" x14ac:dyDescent="0.2">
      <c r="A857" s="285"/>
      <c r="B857" s="286"/>
      <c r="C857" s="287"/>
      <c r="D857" s="286"/>
      <c r="E857" s="286"/>
      <c r="F857" s="286"/>
    </row>
    <row r="858" spans="1:6" x14ac:dyDescent="0.2">
      <c r="A858" s="285"/>
      <c r="B858" s="286"/>
      <c r="C858" s="287"/>
      <c r="D858" s="286"/>
      <c r="E858" s="286"/>
      <c r="F858" s="286"/>
    </row>
    <row r="859" spans="1:6" x14ac:dyDescent="0.2">
      <c r="A859" s="285"/>
      <c r="B859" s="286"/>
      <c r="C859" s="287"/>
      <c r="D859" s="286"/>
      <c r="E859" s="286"/>
      <c r="F859" s="286"/>
    </row>
    <row r="860" spans="1:6" x14ac:dyDescent="0.2">
      <c r="A860" s="285"/>
      <c r="B860" s="286"/>
      <c r="C860" s="287"/>
      <c r="D860" s="286"/>
      <c r="E860" s="286"/>
      <c r="F860" s="286"/>
    </row>
    <row r="861" spans="1:6" x14ac:dyDescent="0.2">
      <c r="A861" s="285"/>
      <c r="B861" s="286"/>
      <c r="C861" s="287"/>
      <c r="D861" s="286"/>
      <c r="E861" s="286"/>
      <c r="F861" s="286"/>
    </row>
    <row r="862" spans="1:6" x14ac:dyDescent="0.2">
      <c r="A862" s="285"/>
      <c r="B862" s="286"/>
      <c r="C862" s="287"/>
      <c r="D862" s="286"/>
      <c r="E862" s="286"/>
      <c r="F862" s="286"/>
    </row>
    <row r="863" spans="1:6" x14ac:dyDescent="0.2">
      <c r="A863" s="285"/>
      <c r="B863" s="286"/>
      <c r="C863" s="287"/>
      <c r="D863" s="286"/>
      <c r="E863" s="286"/>
      <c r="F863" s="286"/>
    </row>
    <row r="864" spans="1:6" x14ac:dyDescent="0.2">
      <c r="A864" s="285"/>
      <c r="B864" s="286"/>
      <c r="C864" s="287"/>
      <c r="D864" s="286"/>
      <c r="E864" s="286"/>
      <c r="F864" s="286"/>
    </row>
    <row r="865" spans="1:6" x14ac:dyDescent="0.2">
      <c r="A865" s="285"/>
      <c r="B865" s="286"/>
      <c r="C865" s="287"/>
      <c r="D865" s="286"/>
      <c r="E865" s="286"/>
      <c r="F865" s="286"/>
    </row>
    <row r="866" spans="1:6" x14ac:dyDescent="0.2">
      <c r="A866" s="285"/>
      <c r="B866" s="286"/>
      <c r="C866" s="287"/>
      <c r="D866" s="286"/>
      <c r="E866" s="286"/>
      <c r="F866" s="286"/>
    </row>
    <row r="867" spans="1:6" x14ac:dyDescent="0.2">
      <c r="A867" s="285"/>
      <c r="B867" s="286"/>
      <c r="C867" s="287"/>
      <c r="D867" s="286"/>
      <c r="E867" s="286"/>
      <c r="F867" s="286"/>
    </row>
    <row r="868" spans="1:6" x14ac:dyDescent="0.2">
      <c r="A868" s="285"/>
      <c r="B868" s="286"/>
      <c r="C868" s="287"/>
      <c r="D868" s="286"/>
      <c r="E868" s="286"/>
      <c r="F868" s="286"/>
    </row>
    <row r="869" spans="1:6" x14ac:dyDescent="0.2">
      <c r="A869" s="285"/>
      <c r="B869" s="286"/>
      <c r="C869" s="287"/>
      <c r="D869" s="286"/>
      <c r="E869" s="286"/>
      <c r="F869" s="286"/>
    </row>
    <row r="870" spans="1:6" x14ac:dyDescent="0.2">
      <c r="A870" s="285"/>
      <c r="B870" s="286"/>
      <c r="C870" s="287"/>
      <c r="D870" s="286"/>
      <c r="E870" s="286"/>
      <c r="F870" s="286"/>
    </row>
    <row r="871" spans="1:6" x14ac:dyDescent="0.2">
      <c r="A871" s="285"/>
      <c r="B871" s="286"/>
      <c r="C871" s="287"/>
      <c r="D871" s="286"/>
      <c r="E871" s="286"/>
      <c r="F871" s="286"/>
    </row>
    <row r="872" spans="1:6" x14ac:dyDescent="0.2">
      <c r="A872" s="285"/>
      <c r="B872" s="286"/>
      <c r="C872" s="287"/>
      <c r="D872" s="286"/>
      <c r="E872" s="286"/>
      <c r="F872" s="286"/>
    </row>
    <row r="873" spans="1:6" x14ac:dyDescent="0.2">
      <c r="A873" s="285"/>
      <c r="B873" s="286"/>
      <c r="C873" s="287"/>
      <c r="D873" s="286"/>
      <c r="E873" s="286"/>
      <c r="F873" s="286"/>
    </row>
    <row r="874" spans="1:6" x14ac:dyDescent="0.2">
      <c r="A874" s="285"/>
      <c r="B874" s="286"/>
      <c r="C874" s="287"/>
      <c r="D874" s="286"/>
      <c r="E874" s="286"/>
      <c r="F874" s="286"/>
    </row>
    <row r="875" spans="1:6" x14ac:dyDescent="0.2">
      <c r="A875" s="285"/>
      <c r="B875" s="286"/>
      <c r="C875" s="287"/>
      <c r="D875" s="286"/>
      <c r="E875" s="286"/>
      <c r="F875" s="286"/>
    </row>
    <row r="876" spans="1:6" x14ac:dyDescent="0.2">
      <c r="A876" s="285"/>
      <c r="B876" s="286"/>
      <c r="C876" s="287"/>
      <c r="D876" s="286"/>
      <c r="E876" s="286"/>
      <c r="F876" s="286"/>
    </row>
    <row r="877" spans="1:6" x14ac:dyDescent="0.2">
      <c r="A877" s="285"/>
      <c r="B877" s="286"/>
      <c r="C877" s="287"/>
      <c r="D877" s="286"/>
      <c r="E877" s="286"/>
      <c r="F877" s="286"/>
    </row>
    <row r="878" spans="1:6" x14ac:dyDescent="0.2">
      <c r="A878" s="285"/>
      <c r="B878" s="286"/>
      <c r="C878" s="287"/>
      <c r="D878" s="286"/>
      <c r="E878" s="286"/>
      <c r="F878" s="286"/>
    </row>
    <row r="879" spans="1:6" x14ac:dyDescent="0.2">
      <c r="A879" s="285"/>
      <c r="B879" s="286"/>
      <c r="C879" s="287"/>
      <c r="D879" s="286"/>
      <c r="E879" s="286"/>
      <c r="F879" s="286"/>
    </row>
    <row r="880" spans="1:6" x14ac:dyDescent="0.2">
      <c r="A880" s="285"/>
      <c r="B880" s="286"/>
      <c r="C880" s="287"/>
      <c r="D880" s="286"/>
      <c r="E880" s="286"/>
      <c r="F880" s="286"/>
    </row>
    <row r="881" spans="1:6" x14ac:dyDescent="0.2">
      <c r="A881" s="285"/>
      <c r="B881" s="286"/>
      <c r="C881" s="287"/>
      <c r="D881" s="286"/>
      <c r="E881" s="286"/>
      <c r="F881" s="286"/>
    </row>
    <row r="882" spans="1:6" x14ac:dyDescent="0.2">
      <c r="A882" s="285"/>
      <c r="B882" s="286"/>
      <c r="C882" s="287"/>
      <c r="D882" s="286"/>
      <c r="E882" s="286"/>
      <c r="F882" s="286"/>
    </row>
    <row r="883" spans="1:6" x14ac:dyDescent="0.2">
      <c r="A883" s="285"/>
      <c r="B883" s="286"/>
      <c r="C883" s="287"/>
      <c r="D883" s="286"/>
      <c r="E883" s="286"/>
      <c r="F883" s="286"/>
    </row>
    <row r="884" spans="1:6" x14ac:dyDescent="0.2">
      <c r="A884" s="285"/>
      <c r="B884" s="286"/>
      <c r="C884" s="287"/>
      <c r="D884" s="286"/>
      <c r="E884" s="286"/>
      <c r="F884" s="286"/>
    </row>
    <row r="885" spans="1:6" x14ac:dyDescent="0.2">
      <c r="A885" s="285"/>
      <c r="B885" s="286"/>
      <c r="C885" s="287"/>
      <c r="D885" s="286"/>
      <c r="E885" s="286"/>
      <c r="F885" s="286"/>
    </row>
    <row r="886" spans="1:6" x14ac:dyDescent="0.2">
      <c r="A886" s="285"/>
      <c r="B886" s="286"/>
      <c r="C886" s="287"/>
      <c r="D886" s="286"/>
      <c r="E886" s="286"/>
      <c r="F886" s="286"/>
    </row>
    <row r="887" spans="1:6" x14ac:dyDescent="0.2">
      <c r="A887" s="285"/>
      <c r="B887" s="286"/>
      <c r="C887" s="287"/>
      <c r="D887" s="286"/>
      <c r="E887" s="286"/>
      <c r="F887" s="286"/>
    </row>
    <row r="888" spans="1:6" x14ac:dyDescent="0.2">
      <c r="A888" s="285"/>
      <c r="B888" s="286"/>
      <c r="C888" s="287"/>
      <c r="D888" s="286"/>
      <c r="E888" s="286"/>
      <c r="F888" s="286"/>
    </row>
    <row r="889" spans="1:6" x14ac:dyDescent="0.2">
      <c r="A889" s="285"/>
      <c r="B889" s="286"/>
      <c r="C889" s="287"/>
      <c r="D889" s="286"/>
      <c r="E889" s="286"/>
      <c r="F889" s="286"/>
    </row>
    <row r="890" spans="1:6" x14ac:dyDescent="0.2">
      <c r="A890" s="285"/>
      <c r="B890" s="286"/>
      <c r="C890" s="287"/>
      <c r="D890" s="286"/>
      <c r="E890" s="286"/>
      <c r="F890" s="286"/>
    </row>
    <row r="891" spans="1:6" x14ac:dyDescent="0.2">
      <c r="A891" s="285"/>
      <c r="B891" s="286"/>
      <c r="C891" s="287"/>
      <c r="D891" s="286"/>
      <c r="E891" s="286"/>
      <c r="F891" s="286"/>
    </row>
    <row r="892" spans="1:6" x14ac:dyDescent="0.2">
      <c r="A892" s="285"/>
      <c r="B892" s="286"/>
      <c r="C892" s="287"/>
      <c r="D892" s="286"/>
      <c r="E892" s="286"/>
      <c r="F892" s="286"/>
    </row>
    <row r="893" spans="1:6" x14ac:dyDescent="0.2">
      <c r="A893" s="285"/>
      <c r="B893" s="286"/>
      <c r="C893" s="287"/>
      <c r="D893" s="286"/>
      <c r="E893" s="286"/>
      <c r="F893" s="286"/>
    </row>
    <row r="894" spans="1:6" x14ac:dyDescent="0.2">
      <c r="A894" s="285"/>
      <c r="B894" s="286"/>
      <c r="C894" s="287"/>
      <c r="D894" s="286"/>
      <c r="E894" s="286"/>
      <c r="F894" s="286"/>
    </row>
    <row r="895" spans="1:6" x14ac:dyDescent="0.2">
      <c r="A895" s="285"/>
      <c r="B895" s="286"/>
      <c r="C895" s="287"/>
      <c r="D895" s="286"/>
      <c r="E895" s="286"/>
      <c r="F895" s="286"/>
    </row>
    <row r="896" spans="1:6" x14ac:dyDescent="0.2">
      <c r="A896" s="285"/>
      <c r="B896" s="286"/>
      <c r="C896" s="287"/>
      <c r="D896" s="286"/>
      <c r="E896" s="286"/>
      <c r="F896" s="286"/>
    </row>
    <row r="897" spans="1:6" x14ac:dyDescent="0.2">
      <c r="A897" s="285"/>
      <c r="B897" s="286"/>
      <c r="C897" s="287"/>
      <c r="D897" s="286"/>
      <c r="E897" s="286"/>
      <c r="F897" s="286"/>
    </row>
    <row r="898" spans="1:6" x14ac:dyDescent="0.2">
      <c r="A898" s="285"/>
      <c r="B898" s="286"/>
      <c r="C898" s="287"/>
      <c r="D898" s="286"/>
      <c r="E898" s="286"/>
      <c r="F898" s="286"/>
    </row>
    <row r="899" spans="1:6" x14ac:dyDescent="0.2">
      <c r="A899" s="285"/>
      <c r="B899" s="286"/>
      <c r="C899" s="287"/>
      <c r="D899" s="286"/>
      <c r="E899" s="286"/>
      <c r="F899" s="286"/>
    </row>
    <row r="900" spans="1:6" x14ac:dyDescent="0.2">
      <c r="A900" s="285"/>
      <c r="B900" s="286"/>
      <c r="C900" s="287"/>
      <c r="D900" s="286"/>
      <c r="E900" s="286"/>
      <c r="F900" s="286"/>
    </row>
    <row r="901" spans="1:6" x14ac:dyDescent="0.2">
      <c r="A901" s="285"/>
      <c r="B901" s="286"/>
      <c r="C901" s="287"/>
      <c r="D901" s="286"/>
      <c r="E901" s="286"/>
      <c r="F901" s="286"/>
    </row>
    <row r="902" spans="1:6" x14ac:dyDescent="0.2">
      <c r="A902" s="285"/>
      <c r="B902" s="286"/>
      <c r="C902" s="287"/>
      <c r="D902" s="286"/>
      <c r="E902" s="286"/>
      <c r="F902" s="286"/>
    </row>
    <row r="903" spans="1:6" x14ac:dyDescent="0.2">
      <c r="A903" s="285"/>
      <c r="B903" s="286"/>
      <c r="C903" s="287"/>
      <c r="D903" s="286"/>
      <c r="E903" s="286"/>
      <c r="F903" s="286"/>
    </row>
    <row r="904" spans="1:6" x14ac:dyDescent="0.2">
      <c r="A904" s="285"/>
      <c r="B904" s="286"/>
      <c r="C904" s="287"/>
      <c r="D904" s="286"/>
      <c r="E904" s="286"/>
      <c r="F904" s="286"/>
    </row>
    <row r="905" spans="1:6" x14ac:dyDescent="0.2">
      <c r="A905" s="285"/>
      <c r="B905" s="286"/>
      <c r="C905" s="287"/>
      <c r="D905" s="286"/>
      <c r="E905" s="286"/>
      <c r="F905" s="286"/>
    </row>
    <row r="906" spans="1:6" x14ac:dyDescent="0.2">
      <c r="A906" s="285"/>
      <c r="B906" s="286"/>
      <c r="C906" s="287"/>
      <c r="D906" s="286"/>
      <c r="E906" s="286"/>
      <c r="F906" s="286"/>
    </row>
    <row r="907" spans="1:6" x14ac:dyDescent="0.2">
      <c r="A907" s="285"/>
      <c r="B907" s="286"/>
      <c r="C907" s="287"/>
      <c r="D907" s="286"/>
      <c r="E907" s="286"/>
      <c r="F907" s="286"/>
    </row>
    <row r="908" spans="1:6" x14ac:dyDescent="0.2">
      <c r="A908" s="285"/>
      <c r="B908" s="286"/>
      <c r="C908" s="287"/>
      <c r="D908" s="286"/>
      <c r="E908" s="286"/>
      <c r="F908" s="286"/>
    </row>
    <row r="909" spans="1:6" x14ac:dyDescent="0.2">
      <c r="A909" s="285"/>
      <c r="B909" s="286"/>
      <c r="C909" s="287"/>
      <c r="D909" s="286"/>
      <c r="E909" s="286"/>
      <c r="F909" s="286"/>
    </row>
    <row r="910" spans="1:6" x14ac:dyDescent="0.2">
      <c r="A910" s="285"/>
      <c r="B910" s="286"/>
      <c r="C910" s="287"/>
      <c r="D910" s="286"/>
      <c r="E910" s="286"/>
      <c r="F910" s="286"/>
    </row>
    <row r="911" spans="1:6" x14ac:dyDescent="0.2">
      <c r="A911" s="285"/>
      <c r="B911" s="286"/>
      <c r="C911" s="287"/>
      <c r="D911" s="286"/>
      <c r="E911" s="286"/>
      <c r="F911" s="286"/>
    </row>
    <row r="912" spans="1:6" x14ac:dyDescent="0.2">
      <c r="A912" s="285"/>
      <c r="B912" s="286"/>
      <c r="C912" s="287"/>
      <c r="D912" s="286"/>
      <c r="E912" s="286"/>
      <c r="F912" s="286"/>
    </row>
    <row r="913" spans="1:6" x14ac:dyDescent="0.2">
      <c r="A913" s="285"/>
      <c r="B913" s="286"/>
      <c r="C913" s="287"/>
      <c r="D913" s="286"/>
      <c r="E913" s="286"/>
      <c r="F913" s="286"/>
    </row>
    <row r="914" spans="1:6" x14ac:dyDescent="0.2">
      <c r="A914" s="285"/>
      <c r="B914" s="286"/>
      <c r="C914" s="287"/>
      <c r="D914" s="286"/>
      <c r="E914" s="286"/>
      <c r="F914" s="286"/>
    </row>
    <row r="915" spans="1:6" x14ac:dyDescent="0.2">
      <c r="A915" s="285"/>
      <c r="B915" s="286"/>
      <c r="C915" s="287"/>
      <c r="D915" s="286"/>
      <c r="E915" s="286"/>
      <c r="F915" s="286"/>
    </row>
    <row r="916" spans="1:6" x14ac:dyDescent="0.2">
      <c r="A916" s="285"/>
      <c r="B916" s="286"/>
      <c r="C916" s="287"/>
      <c r="D916" s="286"/>
      <c r="E916" s="286"/>
      <c r="F916" s="286"/>
    </row>
    <row r="917" spans="1:6" x14ac:dyDescent="0.2">
      <c r="A917" s="285"/>
      <c r="B917" s="286"/>
      <c r="C917" s="287"/>
      <c r="D917" s="286"/>
      <c r="E917" s="286"/>
      <c r="F917" s="286"/>
    </row>
    <row r="918" spans="1:6" x14ac:dyDescent="0.2">
      <c r="A918" s="285"/>
      <c r="B918" s="286"/>
      <c r="C918" s="287"/>
      <c r="D918" s="286"/>
      <c r="E918" s="286"/>
      <c r="F918" s="286"/>
    </row>
    <row r="919" spans="1:6" x14ac:dyDescent="0.2">
      <c r="A919" s="285"/>
      <c r="B919" s="286"/>
      <c r="C919" s="287"/>
      <c r="D919" s="286"/>
      <c r="E919" s="286"/>
      <c r="F919" s="286"/>
    </row>
    <row r="920" spans="1:6" x14ac:dyDescent="0.2">
      <c r="A920" s="285"/>
      <c r="B920" s="286"/>
      <c r="C920" s="287"/>
      <c r="D920" s="286"/>
      <c r="E920" s="286"/>
      <c r="F920" s="286"/>
    </row>
    <row r="921" spans="1:6" x14ac:dyDescent="0.2">
      <c r="A921" s="285"/>
      <c r="B921" s="286"/>
      <c r="C921" s="287"/>
      <c r="D921" s="286"/>
      <c r="E921" s="286"/>
      <c r="F921" s="286"/>
    </row>
    <row r="922" spans="1:6" x14ac:dyDescent="0.2">
      <c r="A922" s="285"/>
      <c r="B922" s="286"/>
      <c r="C922" s="287"/>
      <c r="D922" s="286"/>
      <c r="E922" s="286"/>
      <c r="F922" s="286"/>
    </row>
    <row r="923" spans="1:6" x14ac:dyDescent="0.2">
      <c r="A923" s="285"/>
      <c r="B923" s="286"/>
      <c r="C923" s="287"/>
      <c r="D923" s="286"/>
      <c r="E923" s="286"/>
      <c r="F923" s="286"/>
    </row>
    <row r="924" spans="1:6" x14ac:dyDescent="0.2">
      <c r="A924" s="285"/>
      <c r="B924" s="286"/>
      <c r="C924" s="287"/>
      <c r="D924" s="286"/>
      <c r="E924" s="286"/>
      <c r="F924" s="286"/>
    </row>
    <row r="925" spans="1:6" x14ac:dyDescent="0.2">
      <c r="A925" s="285"/>
      <c r="B925" s="286"/>
      <c r="C925" s="287"/>
      <c r="D925" s="286"/>
      <c r="E925" s="286"/>
      <c r="F925" s="286"/>
    </row>
    <row r="926" spans="1:6" x14ac:dyDescent="0.2">
      <c r="A926" s="285"/>
      <c r="B926" s="286"/>
      <c r="C926" s="287"/>
      <c r="D926" s="286"/>
      <c r="E926" s="286"/>
      <c r="F926" s="286"/>
    </row>
    <row r="927" spans="1:6" x14ac:dyDescent="0.2">
      <c r="A927" s="285"/>
      <c r="B927" s="286"/>
      <c r="C927" s="287"/>
      <c r="D927" s="286"/>
      <c r="E927" s="286"/>
      <c r="F927" s="286"/>
    </row>
    <row r="928" spans="1:6" x14ac:dyDescent="0.2">
      <c r="A928" s="285"/>
      <c r="B928" s="286"/>
      <c r="C928" s="287"/>
      <c r="D928" s="286"/>
      <c r="E928" s="286"/>
      <c r="F928" s="286"/>
    </row>
    <row r="929" spans="1:6" x14ac:dyDescent="0.2">
      <c r="A929" s="285"/>
      <c r="B929" s="286"/>
      <c r="C929" s="287"/>
      <c r="D929" s="286"/>
      <c r="E929" s="286"/>
      <c r="F929" s="286"/>
    </row>
    <row r="930" spans="1:6" x14ac:dyDescent="0.2">
      <c r="A930" s="285"/>
      <c r="B930" s="286"/>
      <c r="C930" s="287"/>
      <c r="D930" s="286"/>
      <c r="E930" s="286"/>
      <c r="F930" s="286"/>
    </row>
    <row r="931" spans="1:6" x14ac:dyDescent="0.2">
      <c r="A931" s="285"/>
      <c r="B931" s="286"/>
      <c r="C931" s="287"/>
      <c r="D931" s="286"/>
      <c r="E931" s="286"/>
      <c r="F931" s="286"/>
    </row>
    <row r="932" spans="1:6" x14ac:dyDescent="0.2">
      <c r="A932" s="285"/>
      <c r="B932" s="286"/>
      <c r="C932" s="287"/>
      <c r="D932" s="286"/>
      <c r="E932" s="286"/>
      <c r="F932" s="286"/>
    </row>
    <row r="933" spans="1:6" x14ac:dyDescent="0.2">
      <c r="A933" s="285"/>
      <c r="B933" s="286"/>
      <c r="C933" s="287"/>
      <c r="D933" s="286"/>
      <c r="E933" s="286"/>
      <c r="F933" s="286"/>
    </row>
    <row r="934" spans="1:6" x14ac:dyDescent="0.2">
      <c r="A934" s="285"/>
      <c r="B934" s="286"/>
      <c r="C934" s="287"/>
      <c r="D934" s="286"/>
      <c r="E934" s="286"/>
      <c r="F934" s="286"/>
    </row>
    <row r="935" spans="1:6" x14ac:dyDescent="0.2">
      <c r="A935" s="285"/>
      <c r="B935" s="286"/>
      <c r="C935" s="287"/>
      <c r="D935" s="286"/>
      <c r="E935" s="286"/>
      <c r="F935" s="286"/>
    </row>
    <row r="936" spans="1:6" x14ac:dyDescent="0.2">
      <c r="A936" s="285"/>
      <c r="B936" s="286"/>
      <c r="C936" s="287"/>
      <c r="D936" s="286"/>
      <c r="E936" s="286"/>
      <c r="F936" s="286"/>
    </row>
    <row r="937" spans="1:6" x14ac:dyDescent="0.2">
      <c r="A937" s="285"/>
      <c r="B937" s="286"/>
      <c r="C937" s="287"/>
      <c r="D937" s="286"/>
      <c r="E937" s="286"/>
      <c r="F937" s="286"/>
    </row>
    <row r="938" spans="1:6" x14ac:dyDescent="0.2">
      <c r="A938" s="285"/>
      <c r="B938" s="286"/>
      <c r="C938" s="287"/>
      <c r="D938" s="286"/>
      <c r="E938" s="286"/>
      <c r="F938" s="286"/>
    </row>
    <row r="939" spans="1:6" x14ac:dyDescent="0.2">
      <c r="A939" s="285"/>
      <c r="B939" s="286"/>
      <c r="C939" s="287"/>
      <c r="D939" s="286"/>
      <c r="E939" s="286"/>
      <c r="F939" s="286"/>
    </row>
    <row r="940" spans="1:6" x14ac:dyDescent="0.2">
      <c r="A940" s="285"/>
      <c r="B940" s="286"/>
      <c r="C940" s="287"/>
      <c r="D940" s="286"/>
      <c r="E940" s="286"/>
      <c r="F940" s="286"/>
    </row>
    <row r="941" spans="1:6" x14ac:dyDescent="0.2">
      <c r="A941" s="285"/>
      <c r="B941" s="286"/>
      <c r="C941" s="287"/>
      <c r="D941" s="286"/>
      <c r="E941" s="286"/>
      <c r="F941" s="286"/>
    </row>
    <row r="942" spans="1:6" x14ac:dyDescent="0.2">
      <c r="A942" s="285"/>
      <c r="B942" s="286"/>
      <c r="C942" s="287"/>
      <c r="D942" s="286"/>
      <c r="E942" s="286"/>
      <c r="F942" s="286"/>
    </row>
    <row r="943" spans="1:6" x14ac:dyDescent="0.2">
      <c r="A943" s="285"/>
      <c r="B943" s="286"/>
      <c r="C943" s="287"/>
      <c r="D943" s="286"/>
      <c r="E943" s="286"/>
      <c r="F943" s="286"/>
    </row>
    <row r="944" spans="1:6" x14ac:dyDescent="0.2">
      <c r="A944" s="285"/>
      <c r="B944" s="286"/>
      <c r="C944" s="287"/>
      <c r="D944" s="286"/>
      <c r="E944" s="286"/>
      <c r="F944" s="286"/>
    </row>
    <row r="945" spans="1:6" x14ac:dyDescent="0.2">
      <c r="A945" s="285"/>
      <c r="B945" s="286"/>
      <c r="C945" s="287"/>
      <c r="D945" s="286"/>
      <c r="E945" s="286"/>
      <c r="F945" s="286"/>
    </row>
    <row r="946" spans="1:6" x14ac:dyDescent="0.2">
      <c r="A946" s="285"/>
      <c r="B946" s="286"/>
      <c r="C946" s="287"/>
      <c r="D946" s="286"/>
      <c r="E946" s="286"/>
      <c r="F946" s="286"/>
    </row>
    <row r="947" spans="1:6" x14ac:dyDescent="0.2">
      <c r="A947" s="285"/>
      <c r="B947" s="286"/>
      <c r="C947" s="287"/>
      <c r="D947" s="286"/>
      <c r="E947" s="286"/>
      <c r="F947" s="286"/>
    </row>
    <row r="948" spans="1:6" x14ac:dyDescent="0.2">
      <c r="A948" s="285"/>
      <c r="B948" s="286"/>
      <c r="C948" s="287"/>
      <c r="D948" s="286"/>
      <c r="E948" s="286"/>
      <c r="F948" s="286"/>
    </row>
    <row r="949" spans="1:6" x14ac:dyDescent="0.2">
      <c r="A949" s="285"/>
      <c r="B949" s="286"/>
      <c r="C949" s="287"/>
      <c r="D949" s="286"/>
      <c r="E949" s="286"/>
      <c r="F949" s="286"/>
    </row>
    <row r="950" spans="1:6" x14ac:dyDescent="0.2">
      <c r="A950" s="285"/>
      <c r="B950" s="286"/>
      <c r="C950" s="287"/>
      <c r="D950" s="286"/>
      <c r="E950" s="286"/>
      <c r="F950" s="286"/>
    </row>
    <row r="951" spans="1:6" x14ac:dyDescent="0.2">
      <c r="A951" s="285"/>
      <c r="B951" s="286"/>
      <c r="C951" s="287"/>
      <c r="D951" s="286"/>
      <c r="E951" s="286"/>
      <c r="F951" s="286"/>
    </row>
    <row r="952" spans="1:6" x14ac:dyDescent="0.2">
      <c r="A952" s="285"/>
      <c r="B952" s="286"/>
      <c r="C952" s="287"/>
      <c r="D952" s="286"/>
      <c r="E952" s="286"/>
      <c r="F952" s="286"/>
    </row>
    <row r="953" spans="1:6" x14ac:dyDescent="0.2">
      <c r="A953" s="285"/>
      <c r="B953" s="286"/>
      <c r="C953" s="287"/>
      <c r="D953" s="286"/>
      <c r="E953" s="286"/>
      <c r="F953" s="286"/>
    </row>
    <row r="954" spans="1:6" x14ac:dyDescent="0.2">
      <c r="A954" s="285"/>
      <c r="B954" s="286"/>
      <c r="C954" s="287"/>
      <c r="D954" s="286"/>
      <c r="E954" s="286"/>
      <c r="F954" s="286"/>
    </row>
    <row r="955" spans="1:6" x14ac:dyDescent="0.2">
      <c r="A955" s="285"/>
      <c r="B955" s="286"/>
      <c r="C955" s="287"/>
      <c r="D955" s="286"/>
      <c r="E955" s="286"/>
      <c r="F955" s="286"/>
    </row>
    <row r="956" spans="1:6" x14ac:dyDescent="0.2">
      <c r="A956" s="285"/>
      <c r="B956" s="286"/>
      <c r="C956" s="287"/>
      <c r="D956" s="286"/>
      <c r="E956" s="286"/>
      <c r="F956" s="286"/>
    </row>
    <row r="957" spans="1:6" x14ac:dyDescent="0.2">
      <c r="A957" s="285"/>
      <c r="B957" s="286"/>
      <c r="C957" s="287"/>
      <c r="D957" s="286"/>
      <c r="E957" s="286"/>
      <c r="F957" s="286"/>
    </row>
    <row r="958" spans="1:6" x14ac:dyDescent="0.2">
      <c r="A958" s="285"/>
      <c r="B958" s="286"/>
      <c r="C958" s="287"/>
      <c r="D958" s="286"/>
      <c r="E958" s="286"/>
      <c r="F958" s="286"/>
    </row>
    <row r="959" spans="1:6" x14ac:dyDescent="0.2">
      <c r="A959" s="285"/>
      <c r="B959" s="286"/>
      <c r="C959" s="287"/>
      <c r="D959" s="286"/>
      <c r="E959" s="286"/>
      <c r="F959" s="286"/>
    </row>
    <row r="960" spans="1:6" x14ac:dyDescent="0.2">
      <c r="A960" s="285"/>
      <c r="B960" s="286"/>
      <c r="C960" s="287"/>
      <c r="D960" s="286"/>
      <c r="E960" s="286"/>
      <c r="F960" s="286"/>
    </row>
    <row r="961" spans="1:6" x14ac:dyDescent="0.2">
      <c r="A961" s="285"/>
      <c r="B961" s="286"/>
      <c r="C961" s="287"/>
      <c r="D961" s="286"/>
      <c r="E961" s="286"/>
      <c r="F961" s="286"/>
    </row>
    <row r="962" spans="1:6" x14ac:dyDescent="0.2">
      <c r="A962" s="285"/>
      <c r="B962" s="286"/>
      <c r="C962" s="287"/>
      <c r="D962" s="286"/>
      <c r="E962" s="286"/>
      <c r="F962" s="286"/>
    </row>
    <row r="963" spans="1:6" x14ac:dyDescent="0.2">
      <c r="A963" s="285"/>
      <c r="B963" s="286"/>
      <c r="C963" s="287"/>
      <c r="D963" s="286"/>
      <c r="E963" s="286"/>
      <c r="F963" s="286"/>
    </row>
    <row r="964" spans="1:6" x14ac:dyDescent="0.2">
      <c r="A964" s="285"/>
      <c r="B964" s="286"/>
      <c r="C964" s="287"/>
      <c r="D964" s="286"/>
      <c r="E964" s="286"/>
      <c r="F964" s="286"/>
    </row>
    <row r="965" spans="1:6" x14ac:dyDescent="0.2">
      <c r="A965" s="285"/>
      <c r="B965" s="286"/>
      <c r="C965" s="287"/>
      <c r="D965" s="286"/>
      <c r="E965" s="286"/>
      <c r="F965" s="286"/>
    </row>
    <row r="966" spans="1:6" x14ac:dyDescent="0.2">
      <c r="A966" s="285"/>
      <c r="B966" s="286"/>
      <c r="C966" s="287"/>
      <c r="D966" s="286"/>
      <c r="E966" s="286"/>
      <c r="F966" s="286"/>
    </row>
    <row r="967" spans="1:6" x14ac:dyDescent="0.2">
      <c r="A967" s="285"/>
      <c r="B967" s="286"/>
      <c r="C967" s="287"/>
      <c r="D967" s="286"/>
      <c r="E967" s="286"/>
      <c r="F967" s="286"/>
    </row>
    <row r="968" spans="1:6" x14ac:dyDescent="0.2">
      <c r="A968" s="285"/>
      <c r="B968" s="286"/>
      <c r="C968" s="287"/>
      <c r="D968" s="286"/>
      <c r="E968" s="286"/>
      <c r="F968" s="286"/>
    </row>
    <row r="969" spans="1:6" x14ac:dyDescent="0.2">
      <c r="A969" s="285"/>
      <c r="B969" s="286"/>
      <c r="C969" s="287"/>
      <c r="D969" s="286"/>
      <c r="E969" s="286"/>
      <c r="F969" s="286"/>
    </row>
    <row r="970" spans="1:6" x14ac:dyDescent="0.2">
      <c r="A970" s="285"/>
      <c r="B970" s="286"/>
      <c r="C970" s="287"/>
      <c r="D970" s="286"/>
      <c r="E970" s="286"/>
      <c r="F970" s="286"/>
    </row>
    <row r="971" spans="1:6" x14ac:dyDescent="0.2">
      <c r="A971" s="285"/>
      <c r="B971" s="286"/>
      <c r="C971" s="287"/>
      <c r="D971" s="286"/>
      <c r="E971" s="286"/>
      <c r="F971" s="286"/>
    </row>
    <row r="972" spans="1:6" x14ac:dyDescent="0.2">
      <c r="A972" s="285"/>
      <c r="B972" s="286"/>
      <c r="C972" s="287"/>
      <c r="D972" s="286"/>
      <c r="E972" s="286"/>
      <c r="F972" s="286"/>
    </row>
    <row r="973" spans="1:6" x14ac:dyDescent="0.2">
      <c r="A973" s="285"/>
      <c r="B973" s="286"/>
      <c r="C973" s="287"/>
      <c r="D973" s="286"/>
      <c r="E973" s="286"/>
      <c r="F973" s="286"/>
    </row>
    <row r="974" spans="1:6" x14ac:dyDescent="0.2">
      <c r="A974" s="285"/>
      <c r="B974" s="286"/>
      <c r="C974" s="287"/>
      <c r="D974" s="286"/>
      <c r="E974" s="286"/>
      <c r="F974" s="286"/>
    </row>
    <row r="975" spans="1:6" x14ac:dyDescent="0.2">
      <c r="A975" s="285"/>
      <c r="B975" s="286"/>
      <c r="C975" s="287"/>
      <c r="D975" s="286"/>
      <c r="E975" s="286"/>
      <c r="F975" s="286"/>
    </row>
    <row r="976" spans="1:6" x14ac:dyDescent="0.2">
      <c r="A976" s="285"/>
      <c r="B976" s="286"/>
      <c r="C976" s="287"/>
      <c r="D976" s="286"/>
      <c r="E976" s="286"/>
      <c r="F976" s="286"/>
    </row>
    <row r="977" spans="1:6" x14ac:dyDescent="0.2">
      <c r="A977" s="285"/>
      <c r="B977" s="286"/>
      <c r="C977" s="287"/>
      <c r="D977" s="286"/>
      <c r="E977" s="286"/>
      <c r="F977" s="286"/>
    </row>
    <row r="978" spans="1:6" x14ac:dyDescent="0.2">
      <c r="A978" s="285"/>
      <c r="B978" s="286"/>
      <c r="C978" s="287"/>
      <c r="D978" s="286"/>
      <c r="E978" s="286"/>
      <c r="F978" s="286"/>
    </row>
    <row r="979" spans="1:6" x14ac:dyDescent="0.2">
      <c r="A979" s="285"/>
      <c r="B979" s="286"/>
      <c r="C979" s="287"/>
      <c r="D979" s="286"/>
      <c r="E979" s="286"/>
      <c r="F979" s="286"/>
    </row>
    <row r="980" spans="1:6" x14ac:dyDescent="0.2">
      <c r="A980" s="285"/>
      <c r="B980" s="286"/>
      <c r="C980" s="287"/>
      <c r="D980" s="286"/>
      <c r="E980" s="286"/>
      <c r="F980" s="286"/>
    </row>
    <row r="981" spans="1:6" x14ac:dyDescent="0.2">
      <c r="A981" s="285"/>
      <c r="B981" s="286"/>
      <c r="C981" s="287"/>
      <c r="D981" s="286"/>
      <c r="E981" s="286"/>
      <c r="F981" s="286"/>
    </row>
    <row r="982" spans="1:6" x14ac:dyDescent="0.2">
      <c r="A982" s="285"/>
      <c r="B982" s="286"/>
      <c r="C982" s="287"/>
      <c r="D982" s="286"/>
      <c r="E982" s="286"/>
      <c r="F982" s="286"/>
    </row>
    <row r="983" spans="1:6" x14ac:dyDescent="0.2">
      <c r="A983" s="285"/>
      <c r="B983" s="286"/>
      <c r="C983" s="287"/>
      <c r="D983" s="286"/>
      <c r="E983" s="286"/>
      <c r="F983" s="286"/>
    </row>
    <row r="984" spans="1:6" x14ac:dyDescent="0.2">
      <c r="A984" s="285"/>
      <c r="B984" s="286"/>
      <c r="C984" s="287"/>
      <c r="D984" s="286"/>
      <c r="E984" s="286"/>
      <c r="F984" s="286"/>
    </row>
    <row r="985" spans="1:6" x14ac:dyDescent="0.2">
      <c r="A985" s="285"/>
      <c r="B985" s="286"/>
      <c r="C985" s="287"/>
      <c r="D985" s="286"/>
      <c r="E985" s="286"/>
      <c r="F985" s="286"/>
    </row>
    <row r="986" spans="1:6" x14ac:dyDescent="0.2">
      <c r="A986" s="285"/>
      <c r="B986" s="286"/>
      <c r="C986" s="287"/>
      <c r="D986" s="286"/>
      <c r="E986" s="286"/>
      <c r="F986" s="286"/>
    </row>
    <row r="987" spans="1:6" x14ac:dyDescent="0.2">
      <c r="A987" s="285"/>
      <c r="B987" s="286"/>
      <c r="C987" s="287"/>
      <c r="D987" s="286"/>
      <c r="E987" s="286"/>
      <c r="F987" s="286"/>
    </row>
    <row r="988" spans="1:6" x14ac:dyDescent="0.2">
      <c r="A988" s="285"/>
      <c r="B988" s="286"/>
      <c r="C988" s="287"/>
      <c r="D988" s="286"/>
      <c r="E988" s="286"/>
      <c r="F988" s="286"/>
    </row>
    <row r="989" spans="1:6" x14ac:dyDescent="0.2">
      <c r="A989" s="285"/>
      <c r="B989" s="286"/>
      <c r="C989" s="287"/>
      <c r="D989" s="286"/>
      <c r="E989" s="286"/>
      <c r="F989" s="286"/>
    </row>
    <row r="990" spans="1:6" x14ac:dyDescent="0.2">
      <c r="A990" s="285"/>
      <c r="B990" s="286"/>
      <c r="C990" s="287"/>
      <c r="D990" s="286"/>
      <c r="E990" s="286"/>
      <c r="F990" s="286"/>
    </row>
    <row r="991" spans="1:6" x14ac:dyDescent="0.2">
      <c r="A991" s="285"/>
      <c r="B991" s="286"/>
      <c r="C991" s="287"/>
      <c r="D991" s="286"/>
      <c r="E991" s="286"/>
      <c r="F991" s="286"/>
    </row>
    <row r="992" spans="1:6" x14ac:dyDescent="0.2">
      <c r="A992" s="285"/>
      <c r="B992" s="286"/>
      <c r="C992" s="287"/>
      <c r="D992" s="286"/>
      <c r="E992" s="286"/>
      <c r="F992" s="286"/>
    </row>
    <row r="993" spans="1:6" x14ac:dyDescent="0.2">
      <c r="A993" s="285"/>
      <c r="B993" s="286"/>
      <c r="C993" s="287"/>
      <c r="D993" s="286"/>
      <c r="E993" s="286"/>
      <c r="F993" s="286"/>
    </row>
    <row r="994" spans="1:6" x14ac:dyDescent="0.2">
      <c r="A994" s="285"/>
      <c r="B994" s="286"/>
      <c r="C994" s="287"/>
      <c r="D994" s="286"/>
      <c r="E994" s="286"/>
      <c r="F994" s="286"/>
    </row>
    <row r="995" spans="1:6" x14ac:dyDescent="0.2">
      <c r="A995" s="285"/>
      <c r="B995" s="286"/>
      <c r="C995" s="287"/>
      <c r="D995" s="286"/>
      <c r="E995" s="286"/>
      <c r="F995" s="286"/>
    </row>
    <row r="996" spans="1:6" x14ac:dyDescent="0.2">
      <c r="A996" s="285"/>
      <c r="B996" s="286"/>
      <c r="C996" s="287"/>
      <c r="D996" s="286"/>
      <c r="E996" s="286"/>
      <c r="F996" s="286"/>
    </row>
    <row r="997" spans="1:6" x14ac:dyDescent="0.2">
      <c r="A997" s="285"/>
      <c r="B997" s="286"/>
      <c r="C997" s="287"/>
      <c r="D997" s="286"/>
      <c r="E997" s="286"/>
      <c r="F997" s="286"/>
    </row>
    <row r="998" spans="1:6" x14ac:dyDescent="0.2">
      <c r="A998" s="285"/>
      <c r="B998" s="286"/>
      <c r="C998" s="287"/>
      <c r="D998" s="286"/>
      <c r="E998" s="286"/>
      <c r="F998" s="286"/>
    </row>
    <row r="999" spans="1:6" x14ac:dyDescent="0.2">
      <c r="A999" s="285"/>
      <c r="B999" s="286"/>
      <c r="C999" s="287"/>
      <c r="D999" s="286"/>
      <c r="E999" s="286"/>
      <c r="F999" s="286"/>
    </row>
    <row r="1000" spans="1:6" x14ac:dyDescent="0.2">
      <c r="A1000" s="285"/>
      <c r="B1000" s="286"/>
      <c r="C1000" s="287"/>
      <c r="D1000" s="286"/>
      <c r="E1000" s="286"/>
      <c r="F1000" s="286"/>
    </row>
  </sheetData>
  <mergeCells count="95">
    <mergeCell ref="A2:F2"/>
    <mergeCell ref="D3:F3"/>
    <mergeCell ref="A19:F19"/>
    <mergeCell ref="D20:F20"/>
    <mergeCell ref="A32:F32"/>
    <mergeCell ref="A33:F33"/>
    <mergeCell ref="D34:F34"/>
    <mergeCell ref="A50:A51"/>
    <mergeCell ref="C50:C51"/>
    <mergeCell ref="D50:D51"/>
    <mergeCell ref="E50:E51"/>
    <mergeCell ref="F50:F51"/>
    <mergeCell ref="A52:A53"/>
    <mergeCell ref="C52:C53"/>
    <mergeCell ref="D52:D53"/>
    <mergeCell ref="E52:E53"/>
    <mergeCell ref="F52:F53"/>
    <mergeCell ref="A54:A55"/>
    <mergeCell ref="C54:C55"/>
    <mergeCell ref="D54:D55"/>
    <mergeCell ref="E54:E55"/>
    <mergeCell ref="F54:F55"/>
    <mergeCell ref="A68:F68"/>
    <mergeCell ref="A69:F69"/>
    <mergeCell ref="D70:F70"/>
    <mergeCell ref="A101:F101"/>
    <mergeCell ref="A102:F102"/>
    <mergeCell ref="D103:F103"/>
    <mergeCell ref="A131:F131"/>
    <mergeCell ref="A132:F132"/>
    <mergeCell ref="D133:F133"/>
    <mergeCell ref="E141:E143"/>
    <mergeCell ref="A152:F152"/>
    <mergeCell ref="A153:F153"/>
    <mergeCell ref="D154:F154"/>
    <mergeCell ref="A169:F169"/>
    <mergeCell ref="A170:F170"/>
    <mergeCell ref="D171:F171"/>
    <mergeCell ref="A187:F187"/>
    <mergeCell ref="A188:F188"/>
    <mergeCell ref="D189:F189"/>
    <mergeCell ref="A216:F216"/>
    <mergeCell ref="A217:F217"/>
    <mergeCell ref="D218:F218"/>
    <mergeCell ref="A243:F243"/>
    <mergeCell ref="A244:F244"/>
    <mergeCell ref="D245:F245"/>
    <mergeCell ref="A270:F270"/>
    <mergeCell ref="A271:F271"/>
    <mergeCell ref="D272:F272"/>
    <mergeCell ref="A299:F299"/>
    <mergeCell ref="A300:F300"/>
    <mergeCell ref="D301:F301"/>
    <mergeCell ref="A326:F326"/>
    <mergeCell ref="D327:F327"/>
    <mergeCell ref="A340:F340"/>
    <mergeCell ref="A341:F341"/>
    <mergeCell ref="D342:F342"/>
    <mergeCell ref="A355:F355"/>
    <mergeCell ref="A356:F356"/>
    <mergeCell ref="D357:F357"/>
    <mergeCell ref="A371:F371"/>
    <mergeCell ref="D372:F372"/>
    <mergeCell ref="A398:F398"/>
    <mergeCell ref="D399:F399"/>
    <mergeCell ref="A422:F422"/>
    <mergeCell ref="D423:F423"/>
    <mergeCell ref="A437:F437"/>
    <mergeCell ref="D438:F438"/>
    <mergeCell ref="C471:F471"/>
    <mergeCell ref="C472:F472"/>
    <mergeCell ref="A474:F474"/>
    <mergeCell ref="D475:F475"/>
    <mergeCell ref="A484:F484"/>
    <mergeCell ref="D485:F485"/>
    <mergeCell ref="A494:F494"/>
    <mergeCell ref="D495:F495"/>
    <mergeCell ref="A505:F505"/>
    <mergeCell ref="D506:F506"/>
    <mergeCell ref="A516:F516"/>
    <mergeCell ref="D517:F517"/>
    <mergeCell ref="A536:F536"/>
    <mergeCell ref="A550:F550"/>
    <mergeCell ref="A551:F551"/>
    <mergeCell ref="D552:F552"/>
    <mergeCell ref="A577:F577"/>
    <mergeCell ref="D578:F578"/>
    <mergeCell ref="D628:F628"/>
    <mergeCell ref="C644:F644"/>
    <mergeCell ref="C645:F645"/>
    <mergeCell ref="A597:F597"/>
    <mergeCell ref="D598:F598"/>
    <mergeCell ref="A617:F617"/>
    <mergeCell ref="D618:F618"/>
    <mergeCell ref="A627:F627"/>
  </mergeCells>
  <pageMargins left="0.25" right="0.25" top="0.75" bottom="0.75" header="0.3" footer="0.3"/>
  <pageSetup paperSize="9" scale="79" fitToHeight="0" orientation="landscape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M3180"/>
  <sheetViews>
    <sheetView tabSelected="1" topLeftCell="A3143" zoomScale="85" workbookViewId="0">
      <selection activeCell="D3155" sqref="D3155:F3155"/>
    </sheetView>
  </sheetViews>
  <sheetFormatPr defaultColWidth="10.42578125" defaultRowHeight="18" x14ac:dyDescent="0.2"/>
  <cols>
    <col min="1" max="1" width="12.42578125" style="180" customWidth="1"/>
    <col min="2" max="2" width="39.5703125" style="180" customWidth="1"/>
    <col min="3" max="3" width="16.7109375" style="180" customWidth="1"/>
    <col min="4" max="4" width="23" style="180" bestFit="1" customWidth="1"/>
    <col min="5" max="5" width="19.42578125" style="288" bestFit="1" customWidth="1"/>
    <col min="6" max="6" width="47.28515625" style="180" customWidth="1"/>
    <col min="7" max="7" width="25.7109375" style="180" customWidth="1"/>
    <col min="8" max="8" width="33" style="184" customWidth="1"/>
    <col min="9" max="9" width="24.42578125" style="184" customWidth="1"/>
    <col min="10" max="10" width="21" style="180" customWidth="1"/>
    <col min="11" max="11" width="19.28515625" style="180" customWidth="1"/>
    <col min="12" max="12" width="10.42578125" style="180"/>
    <col min="13" max="13" width="17.85546875" style="180" bestFit="1" customWidth="1"/>
    <col min="14" max="16384" width="10.42578125" style="180"/>
  </cols>
  <sheetData>
    <row r="1" spans="1:11" ht="22.5" customHeight="1" x14ac:dyDescent="0.2">
      <c r="A1" s="813" t="s">
        <v>399</v>
      </c>
      <c r="B1" s="814"/>
      <c r="C1" s="814"/>
      <c r="D1" s="814"/>
      <c r="E1" s="815"/>
      <c r="F1" s="816"/>
    </row>
    <row r="2" spans="1:11" ht="18.75" x14ac:dyDescent="0.2">
      <c r="A2" s="813" t="s">
        <v>400</v>
      </c>
      <c r="B2" s="814"/>
      <c r="C2" s="814"/>
      <c r="D2" s="814"/>
      <c r="E2" s="815"/>
      <c r="F2" s="816"/>
      <c r="H2" s="289" t="s">
        <v>348</v>
      </c>
      <c r="I2" s="289"/>
      <c r="J2" s="251" t="s">
        <v>349</v>
      </c>
      <c r="K2" s="290" t="s">
        <v>350</v>
      </c>
    </row>
    <row r="3" spans="1:11" ht="35.25" customHeight="1" x14ac:dyDescent="0.2">
      <c r="A3" s="198">
        <v>1</v>
      </c>
      <c r="B3" s="199" t="s">
        <v>7</v>
      </c>
      <c r="C3" s="200" t="s">
        <v>246</v>
      </c>
      <c r="D3" s="1087">
        <v>7163190</v>
      </c>
      <c r="E3" s="1088"/>
      <c r="F3" s="1089"/>
      <c r="H3" s="292">
        <v>0.05</v>
      </c>
      <c r="I3" s="292"/>
      <c r="J3" s="293">
        <f>D3-D3*H3</f>
        <v>6805030.5</v>
      </c>
      <c r="K3" s="294">
        <f>J3-D14</f>
        <v>3939754.5</v>
      </c>
    </row>
    <row r="4" spans="1:11" ht="18.75" x14ac:dyDescent="0.2">
      <c r="A4" s="198"/>
      <c r="B4" s="201"/>
      <c r="C4" s="200"/>
      <c r="D4" s="202"/>
      <c r="E4" s="202"/>
      <c r="F4" s="203"/>
      <c r="H4" s="292">
        <v>7.0000000000000007E-2</v>
      </c>
      <c r="I4" s="292"/>
      <c r="J4" s="293">
        <f>D3-D3*H4</f>
        <v>6661766.7000000002</v>
      </c>
      <c r="K4" s="294">
        <f>J4-D14</f>
        <v>3796490.7</v>
      </c>
    </row>
    <row r="5" spans="1:11" ht="18.75" x14ac:dyDescent="0.2">
      <c r="A5" s="198">
        <v>2</v>
      </c>
      <c r="B5" s="201" t="s">
        <v>11</v>
      </c>
      <c r="C5" s="206">
        <v>0.02</v>
      </c>
      <c r="D5" s="202">
        <f>(D3-D4)*0.4*C5</f>
        <v>57305.520000000004</v>
      </c>
      <c r="E5" s="207"/>
      <c r="F5" s="203"/>
      <c r="H5" s="292">
        <v>0.1</v>
      </c>
      <c r="I5" s="292"/>
      <c r="J5" s="293">
        <f>D3-D3*H5</f>
        <v>6446871</v>
      </c>
      <c r="K5" s="294">
        <f>J5-D14</f>
        <v>3581595</v>
      </c>
    </row>
    <row r="6" spans="1:11" ht="24" customHeight="1" x14ac:dyDescent="0.2">
      <c r="A6" s="198">
        <v>3</v>
      </c>
      <c r="B6" s="201" t="s">
        <v>118</v>
      </c>
      <c r="C6" s="206">
        <v>0.1</v>
      </c>
      <c r="D6" s="202">
        <f>(D3-D4)*0.4*C6</f>
        <v>286527.60000000003</v>
      </c>
      <c r="E6" s="207"/>
      <c r="F6" s="203"/>
      <c r="H6" s="292">
        <v>0.12</v>
      </c>
      <c r="I6" s="292"/>
      <c r="J6" s="293">
        <f>D3-D3*H6</f>
        <v>6303607.2000000002</v>
      </c>
      <c r="K6" s="294">
        <f>J6-D14</f>
        <v>3438331.2</v>
      </c>
    </row>
    <row r="7" spans="1:11" ht="56.25" x14ac:dyDescent="0.2">
      <c r="A7" s="198">
        <v>4</v>
      </c>
      <c r="B7" s="201" t="s">
        <v>242</v>
      </c>
      <c r="C7" s="206">
        <v>0.2</v>
      </c>
      <c r="D7" s="202">
        <f>(D3-D4)*0.4*C7</f>
        <v>573055.20000000007</v>
      </c>
      <c r="E7" s="207"/>
      <c r="F7" s="203"/>
      <c r="H7" s="292">
        <v>0.15</v>
      </c>
      <c r="I7" s="292"/>
      <c r="J7" s="293">
        <f>D3-D3*H7</f>
        <v>6088711.5</v>
      </c>
      <c r="K7" s="294">
        <f>J7-D14</f>
        <v>3223435.5</v>
      </c>
    </row>
    <row r="8" spans="1:11" ht="18.75" x14ac:dyDescent="0.2">
      <c r="A8" s="198">
        <v>5</v>
      </c>
      <c r="B8" s="201" t="s">
        <v>401</v>
      </c>
      <c r="C8" s="206">
        <v>0.09</v>
      </c>
      <c r="D8" s="202">
        <f>(D3-D4)*0.4*C8</f>
        <v>257874.84</v>
      </c>
      <c r="E8" s="207"/>
      <c r="F8" s="203"/>
      <c r="H8" s="292">
        <v>0.2</v>
      </c>
      <c r="I8" s="292"/>
      <c r="J8" s="293">
        <f>D3-D3*H8</f>
        <v>5730552</v>
      </c>
      <c r="K8" s="294">
        <f>J8-D14</f>
        <v>2865276</v>
      </c>
    </row>
    <row r="9" spans="1:11" ht="18.75" x14ac:dyDescent="0.2">
      <c r="A9" s="198">
        <v>6</v>
      </c>
      <c r="B9" s="201" t="s">
        <v>244</v>
      </c>
      <c r="C9" s="206">
        <v>0.2</v>
      </c>
      <c r="D9" s="202">
        <f>(D3-D4)*0.4*C9</f>
        <v>573055.20000000007</v>
      </c>
      <c r="E9" s="202"/>
      <c r="F9" s="203"/>
      <c r="H9" s="295">
        <v>0.22</v>
      </c>
      <c r="I9" s="295"/>
      <c r="J9" s="296">
        <f>D3-D3*H9</f>
        <v>5587288.2000000002</v>
      </c>
      <c r="K9" s="297">
        <f>J9-D14</f>
        <v>2722012.2</v>
      </c>
    </row>
    <row r="10" spans="1:11" ht="18.75" x14ac:dyDescent="0.2">
      <c r="A10" s="198">
        <v>7</v>
      </c>
      <c r="B10" s="201" t="s">
        <v>402</v>
      </c>
      <c r="C10" s="206">
        <v>7.0000000000000007E-2</v>
      </c>
      <c r="D10" s="202">
        <f>(D3-D4)*0.4*C10</f>
        <v>200569.32</v>
      </c>
      <c r="E10" s="202"/>
      <c r="F10" s="203"/>
      <c r="H10" s="298"/>
      <c r="I10" s="298"/>
      <c r="J10" s="299"/>
    </row>
    <row r="11" spans="1:11" ht="18.75" x14ac:dyDescent="0.2">
      <c r="A11" s="198">
        <v>8</v>
      </c>
      <c r="B11" s="201" t="s">
        <v>205</v>
      </c>
      <c r="C11" s="206">
        <v>0.12</v>
      </c>
      <c r="D11" s="202">
        <f>(D3-D4)*0.4*C11</f>
        <v>343833.12</v>
      </c>
      <c r="E11" s="202"/>
      <c r="F11" s="203"/>
    </row>
    <row r="12" spans="1:11" ht="56.25" x14ac:dyDescent="0.2">
      <c r="A12" s="198">
        <v>9</v>
      </c>
      <c r="B12" s="201" t="s">
        <v>100</v>
      </c>
      <c r="C12" s="206">
        <v>3.5000000000000003E-2</v>
      </c>
      <c r="D12" s="202">
        <f>(D3-D4)*0.4*C12</f>
        <v>100284.66</v>
      </c>
      <c r="E12" s="207"/>
      <c r="F12" s="203"/>
    </row>
    <row r="13" spans="1:11" ht="18.75" x14ac:dyDescent="0.2">
      <c r="A13" s="198">
        <v>10</v>
      </c>
      <c r="B13" s="201" t="s">
        <v>132</v>
      </c>
      <c r="C13" s="206">
        <f>100%-(C5+C6+C7+C8+C9+C10+C11+C12)</f>
        <v>0.16499999999999981</v>
      </c>
      <c r="D13" s="202">
        <f>(D3-D4)*0.4*C13</f>
        <v>472770.53999999946</v>
      </c>
      <c r="E13" s="207"/>
      <c r="F13" s="203"/>
    </row>
    <row r="14" spans="1:11" ht="18.75" x14ac:dyDescent="0.2">
      <c r="A14" s="300">
        <v>11</v>
      </c>
      <c r="B14" s="301" t="s">
        <v>22</v>
      </c>
      <c r="C14" s="302"/>
      <c r="D14" s="303">
        <f>SUM(D4:D13)</f>
        <v>2865276</v>
      </c>
      <c r="E14" s="303">
        <f>SUM(E4:E13)</f>
        <v>0</v>
      </c>
      <c r="F14" s="302"/>
    </row>
    <row r="15" spans="1:11" ht="19.5" x14ac:dyDescent="0.2">
      <c r="A15" s="304">
        <v>12</v>
      </c>
      <c r="B15" s="305" t="s">
        <v>23</v>
      </c>
      <c r="C15" s="218"/>
      <c r="D15" s="202">
        <f>D3-D14</f>
        <v>4297914</v>
      </c>
      <c r="E15" s="306">
        <f>D3-E14</f>
        <v>7163190</v>
      </c>
      <c r="F15" s="218"/>
    </row>
    <row r="16" spans="1:11" x14ac:dyDescent="0.2">
      <c r="A16" s="218"/>
      <c r="B16" s="218"/>
      <c r="C16" s="218"/>
      <c r="D16" s="218"/>
      <c r="E16" s="221"/>
      <c r="F16" s="218"/>
    </row>
    <row r="17" spans="1:11" ht="36" customHeight="1" x14ac:dyDescent="0.2">
      <c r="A17" s="218"/>
      <c r="B17" s="219" t="s">
        <v>403</v>
      </c>
      <c r="C17" s="307">
        <v>45408</v>
      </c>
      <c r="D17" s="218"/>
      <c r="E17" s="221"/>
      <c r="F17" s="218"/>
    </row>
    <row r="18" spans="1:11" ht="225" customHeight="1" x14ac:dyDescent="0.2">
      <c r="A18" s="218"/>
      <c r="B18" s="219" t="s">
        <v>404</v>
      </c>
      <c r="C18" s="1122" t="s">
        <v>405</v>
      </c>
      <c r="D18" s="1115"/>
      <c r="E18" s="1115"/>
      <c r="F18" s="1116"/>
    </row>
    <row r="19" spans="1:11" ht="36" customHeight="1" x14ac:dyDescent="0.2">
      <c r="A19" s="218"/>
      <c r="B19" s="219" t="s">
        <v>406</v>
      </c>
      <c r="C19" s="1123" t="s">
        <v>407</v>
      </c>
      <c r="D19" s="1127"/>
      <c r="E19" s="1127"/>
      <c r="F19" s="1128"/>
    </row>
    <row r="20" spans="1:11" ht="51.75" customHeight="1" x14ac:dyDescent="0.2">
      <c r="A20" s="218"/>
      <c r="B20" s="219" t="s">
        <v>408</v>
      </c>
      <c r="C20" s="1122" t="s">
        <v>409</v>
      </c>
      <c r="D20" s="1115"/>
      <c r="E20" s="1115"/>
      <c r="F20" s="1116"/>
    </row>
    <row r="21" spans="1:11" ht="97.5" customHeight="1" x14ac:dyDescent="0.2">
      <c r="A21" s="218"/>
      <c r="B21" s="218" t="s">
        <v>302</v>
      </c>
      <c r="C21" s="817" t="s">
        <v>410</v>
      </c>
      <c r="D21" s="818"/>
      <c r="E21" s="818"/>
      <c r="F21" s="819"/>
      <c r="H21" s="180"/>
      <c r="I21" s="180"/>
    </row>
    <row r="22" spans="1:11" ht="331.5" customHeight="1" x14ac:dyDescent="0.2">
      <c r="A22" s="218"/>
      <c r="B22" s="218" t="s">
        <v>303</v>
      </c>
      <c r="C22" s="1129" t="s">
        <v>411</v>
      </c>
      <c r="D22" s="1130"/>
      <c r="E22" s="1130"/>
      <c r="F22" s="1131"/>
    </row>
    <row r="23" spans="1:11" ht="51" customHeight="1" x14ac:dyDescent="0.2">
      <c r="A23" s="308"/>
      <c r="B23" s="308"/>
      <c r="C23" s="308"/>
      <c r="D23" s="308"/>
      <c r="E23" s="309"/>
      <c r="F23" s="308"/>
      <c r="H23" s="182"/>
      <c r="I23" s="182"/>
      <c r="J23" s="183"/>
      <c r="K23" s="183"/>
    </row>
    <row r="24" spans="1:11" ht="18.75" x14ac:dyDescent="0.2">
      <c r="A24" s="813" t="s">
        <v>399</v>
      </c>
      <c r="B24" s="814"/>
      <c r="C24" s="814"/>
      <c r="D24" s="814"/>
      <c r="E24" s="815"/>
      <c r="F24" s="816"/>
      <c r="H24" s="182"/>
      <c r="I24" s="182"/>
      <c r="J24" s="183"/>
      <c r="K24" s="183"/>
    </row>
    <row r="25" spans="1:11" ht="31.5" customHeight="1" x14ac:dyDescent="0.2">
      <c r="A25" s="813" t="s">
        <v>412</v>
      </c>
      <c r="B25" s="814"/>
      <c r="C25" s="814"/>
      <c r="D25" s="814"/>
      <c r="E25" s="815"/>
      <c r="F25" s="816"/>
      <c r="H25" s="289" t="s">
        <v>348</v>
      </c>
      <c r="I25" s="289"/>
      <c r="J25" s="251" t="s">
        <v>349</v>
      </c>
      <c r="K25" s="290" t="s">
        <v>350</v>
      </c>
    </row>
    <row r="26" spans="1:11" ht="36" x14ac:dyDescent="0.2">
      <c r="A26" s="198">
        <v>1</v>
      </c>
      <c r="B26" s="199" t="s">
        <v>7</v>
      </c>
      <c r="C26" s="200" t="s">
        <v>246</v>
      </c>
      <c r="D26" s="1087">
        <v>29992670</v>
      </c>
      <c r="E26" s="1088"/>
      <c r="F26" s="1089"/>
      <c r="H26" s="292">
        <v>0.16</v>
      </c>
      <c r="I26" s="292"/>
      <c r="J26" s="293">
        <f>D26-D26*H26</f>
        <v>25193842.800000001</v>
      </c>
      <c r="K26" s="294">
        <f>J26-D47</f>
        <v>9305449.4532912038</v>
      </c>
    </row>
    <row r="27" spans="1:11" ht="37.5" x14ac:dyDescent="0.2">
      <c r="A27" s="198">
        <v>2</v>
      </c>
      <c r="B27" s="201" t="s">
        <v>413</v>
      </c>
      <c r="C27" s="200"/>
      <c r="D27" s="202">
        <v>2200000</v>
      </c>
      <c r="E27" s="202"/>
      <c r="F27" s="203"/>
      <c r="H27" s="292">
        <v>0.17499999999999999</v>
      </c>
      <c r="I27" s="292"/>
      <c r="J27" s="293">
        <f>D26-D26*H27</f>
        <v>24743952.75</v>
      </c>
      <c r="K27" s="294">
        <f>J27-D47</f>
        <v>8855559.4032912031</v>
      </c>
    </row>
    <row r="28" spans="1:11" ht="37.5" x14ac:dyDescent="0.2">
      <c r="A28" s="198">
        <v>3</v>
      </c>
      <c r="B28" s="201" t="s">
        <v>253</v>
      </c>
      <c r="C28" s="206">
        <v>0.02</v>
      </c>
      <c r="D28" s="202">
        <f>(D26-D27)*0.4*C28</f>
        <v>222341.36000000002</v>
      </c>
      <c r="E28" s="202"/>
      <c r="F28" s="203"/>
      <c r="H28" s="292">
        <v>0.19</v>
      </c>
      <c r="I28" s="292"/>
      <c r="J28" s="293">
        <f>D26-D26*H28</f>
        <v>24294062.699999999</v>
      </c>
      <c r="K28" s="294">
        <f>J28-D47</f>
        <v>8405669.3532912023</v>
      </c>
    </row>
    <row r="29" spans="1:11" ht="18.75" x14ac:dyDescent="0.2">
      <c r="A29" s="198">
        <v>4</v>
      </c>
      <c r="B29" s="201" t="s">
        <v>11</v>
      </c>
      <c r="C29" s="206">
        <v>0.01</v>
      </c>
      <c r="D29" s="202">
        <f>(D26-D27)*0.4*C29</f>
        <v>111170.68000000001</v>
      </c>
      <c r="E29" s="207"/>
      <c r="F29" s="203"/>
      <c r="H29" s="292">
        <v>0.2</v>
      </c>
      <c r="I29" s="292"/>
      <c r="J29" s="293">
        <f>D26-D26*H29</f>
        <v>23994136</v>
      </c>
      <c r="K29" s="294">
        <f>J29-D47</f>
        <v>8105742.6532912031</v>
      </c>
    </row>
    <row r="30" spans="1:11" ht="18.75" x14ac:dyDescent="0.2">
      <c r="A30" s="198">
        <v>5</v>
      </c>
      <c r="B30" s="201" t="s">
        <v>118</v>
      </c>
      <c r="C30" s="206">
        <v>0.02</v>
      </c>
      <c r="D30" s="202">
        <f>(D26-D27)*0.4*C30</f>
        <v>222341.36000000002</v>
      </c>
      <c r="E30" s="207"/>
      <c r="F30" s="203"/>
      <c r="H30" s="292">
        <v>0.23</v>
      </c>
      <c r="I30" s="292"/>
      <c r="J30" s="293">
        <f>D26-D26*H30</f>
        <v>23094355.899999999</v>
      </c>
      <c r="K30" s="294">
        <f>J30-D47</f>
        <v>7205962.5532912016</v>
      </c>
    </row>
    <row r="31" spans="1:11" ht="18.75" x14ac:dyDescent="0.2">
      <c r="A31" s="198">
        <v>6</v>
      </c>
      <c r="B31" s="201" t="s">
        <v>402</v>
      </c>
      <c r="C31" s="206">
        <v>2.5000000000000001E-2</v>
      </c>
      <c r="D31" s="202">
        <f>(D26-D27)*0.4*C31</f>
        <v>277926.7</v>
      </c>
      <c r="E31" s="207"/>
      <c r="F31" s="203"/>
      <c r="H31" s="292">
        <v>0.249</v>
      </c>
      <c r="I31" s="292"/>
      <c r="J31" s="293">
        <f>D26-D26*H31</f>
        <v>22524495.170000002</v>
      </c>
      <c r="K31" s="294">
        <f>J31-D47</f>
        <v>6636101.8232912049</v>
      </c>
    </row>
    <row r="32" spans="1:11" ht="18.75" x14ac:dyDescent="0.2">
      <c r="A32" s="198">
        <v>7</v>
      </c>
      <c r="B32" s="201" t="s">
        <v>20</v>
      </c>
      <c r="C32" s="206">
        <v>0.03</v>
      </c>
      <c r="D32" s="202">
        <f>(D26-D27)*0.4*C32</f>
        <v>333512.03999999998</v>
      </c>
      <c r="E32" s="207"/>
      <c r="F32" s="203"/>
      <c r="H32" s="292">
        <v>0.26</v>
      </c>
      <c r="I32" s="292"/>
      <c r="J32" s="293">
        <f>D26-D26*H32</f>
        <v>22194575.800000001</v>
      </c>
      <c r="K32" s="294">
        <f>J32-D47</f>
        <v>6306182.4532912038</v>
      </c>
    </row>
    <row r="33" spans="1:11" ht="18.75" x14ac:dyDescent="0.2">
      <c r="A33" s="198">
        <v>8</v>
      </c>
      <c r="B33" s="201" t="s">
        <v>267</v>
      </c>
      <c r="C33" s="206">
        <v>2.5000000000000001E-2</v>
      </c>
      <c r="D33" s="202">
        <f>(D26-D27)*0.4*C33</f>
        <v>277926.7</v>
      </c>
      <c r="E33" s="207"/>
      <c r="F33" s="203"/>
      <c r="H33" s="295">
        <v>0.3</v>
      </c>
      <c r="I33" s="295"/>
      <c r="J33" s="296">
        <f>D26-D26*H33</f>
        <v>20994869</v>
      </c>
      <c r="K33" s="297">
        <f>J33-D47</f>
        <v>5106475.6532912031</v>
      </c>
    </row>
    <row r="34" spans="1:11" ht="18.75" x14ac:dyDescent="0.2">
      <c r="A34" s="198">
        <v>9</v>
      </c>
      <c r="B34" s="201" t="s">
        <v>256</v>
      </c>
      <c r="C34" s="206">
        <v>2.5000000000000001E-2</v>
      </c>
      <c r="D34" s="202">
        <f>(D26-D27)*0.4*C34</f>
        <v>277926.7</v>
      </c>
      <c r="E34" s="207"/>
      <c r="F34" s="203"/>
      <c r="H34" s="181"/>
      <c r="I34" s="181"/>
      <c r="J34" s="179"/>
      <c r="K34" s="179"/>
    </row>
    <row r="35" spans="1:11" ht="18.75" x14ac:dyDescent="0.2">
      <c r="A35" s="198">
        <v>10</v>
      </c>
      <c r="B35" s="201" t="s">
        <v>414</v>
      </c>
      <c r="C35" s="206">
        <v>0.02</v>
      </c>
      <c r="D35" s="202">
        <f>(D26-D27)*0.4*C35</f>
        <v>222341.36000000002</v>
      </c>
      <c r="E35" s="207"/>
      <c r="F35" s="203"/>
      <c r="H35" s="181"/>
      <c r="I35" s="181"/>
      <c r="J35" s="179"/>
      <c r="K35" s="179"/>
    </row>
    <row r="36" spans="1:11" ht="18.75" x14ac:dyDescent="0.2">
      <c r="A36" s="198">
        <v>11</v>
      </c>
      <c r="B36" s="201" t="s">
        <v>415</v>
      </c>
      <c r="C36" s="206">
        <v>1.4999999999999999E-2</v>
      </c>
      <c r="D36" s="202">
        <f>(D26-D27)*0.4*C36</f>
        <v>166756.01999999999</v>
      </c>
      <c r="E36" s="207"/>
      <c r="F36" s="203"/>
      <c r="H36" s="181"/>
      <c r="I36" s="181"/>
      <c r="J36" s="179"/>
      <c r="K36" s="179"/>
    </row>
    <row r="37" spans="1:11" ht="18.75" x14ac:dyDescent="0.2">
      <c r="A37" s="198">
        <v>12</v>
      </c>
      <c r="B37" s="201" t="s">
        <v>258</v>
      </c>
      <c r="C37" s="206">
        <v>1.4999999999999999E-2</v>
      </c>
      <c r="D37" s="202">
        <f>(D26-D27)*0.4*C37</f>
        <v>166756.01999999999</v>
      </c>
      <c r="E37" s="207"/>
      <c r="F37" s="203"/>
      <c r="H37" s="181"/>
      <c r="I37" s="181"/>
      <c r="J37" s="179"/>
      <c r="K37" s="179"/>
    </row>
    <row r="38" spans="1:11" ht="18.75" x14ac:dyDescent="0.2">
      <c r="A38" s="198">
        <v>13</v>
      </c>
      <c r="B38" s="201" t="s">
        <v>416</v>
      </c>
      <c r="C38" s="206">
        <v>2.5000000000000001E-2</v>
      </c>
      <c r="D38" s="202">
        <f>(D26-D27)*0.4*C38</f>
        <v>277926.7</v>
      </c>
      <c r="E38" s="207"/>
      <c r="F38" s="203"/>
      <c r="H38" s="181"/>
      <c r="I38" s="181"/>
      <c r="J38" s="179"/>
      <c r="K38" s="179"/>
    </row>
    <row r="39" spans="1:11" ht="18.75" x14ac:dyDescent="0.2">
      <c r="A39" s="198">
        <v>14</v>
      </c>
      <c r="B39" s="201" t="s">
        <v>262</v>
      </c>
      <c r="C39" s="206">
        <v>1.5100000000000001E-2</v>
      </c>
      <c r="D39" s="202">
        <f>(D26-C39)*0.4*C39</f>
        <v>181155.72670879602</v>
      </c>
      <c r="E39" s="207"/>
      <c r="F39" s="203"/>
      <c r="H39" s="181"/>
      <c r="I39" s="181"/>
      <c r="J39" s="179"/>
      <c r="K39" s="179"/>
    </row>
    <row r="40" spans="1:11" ht="18.75" x14ac:dyDescent="0.2">
      <c r="A40" s="198">
        <v>15</v>
      </c>
      <c r="B40" s="201" t="s">
        <v>417</v>
      </c>
      <c r="C40" s="206">
        <v>0.05</v>
      </c>
      <c r="D40" s="202">
        <f>(D26-D27)*0.4*C40</f>
        <v>555853.4</v>
      </c>
      <c r="E40" s="207"/>
      <c r="F40" s="203"/>
      <c r="H40" s="181"/>
      <c r="I40" s="181"/>
      <c r="J40" s="179"/>
      <c r="K40" s="179"/>
    </row>
    <row r="41" spans="1:11" ht="37.5" hidden="1" x14ac:dyDescent="0.2">
      <c r="A41" s="198">
        <v>16</v>
      </c>
      <c r="B41" s="201" t="s">
        <v>418</v>
      </c>
      <c r="C41" s="206">
        <v>0.02</v>
      </c>
      <c r="D41" s="202">
        <f>(D26-D27)*0.4*C41</f>
        <v>222341.36000000002</v>
      </c>
      <c r="E41" s="207"/>
      <c r="F41" s="203"/>
      <c r="H41" s="181"/>
      <c r="I41" s="181"/>
      <c r="J41" s="179"/>
      <c r="K41" s="179"/>
    </row>
    <row r="42" spans="1:11" ht="18.75" x14ac:dyDescent="0.2">
      <c r="A42" s="198">
        <v>17</v>
      </c>
      <c r="B42" s="201" t="s">
        <v>260</v>
      </c>
      <c r="C42" s="206">
        <v>0.02</v>
      </c>
      <c r="D42" s="202">
        <f>(D26-D27)*0.4*C42</f>
        <v>222341.36000000002</v>
      </c>
      <c r="E42" s="202"/>
      <c r="F42" s="203"/>
      <c r="H42" s="298"/>
      <c r="I42" s="298"/>
      <c r="J42" s="299"/>
    </row>
    <row r="43" spans="1:11" ht="18.75" x14ac:dyDescent="0.2">
      <c r="A43" s="198">
        <v>18</v>
      </c>
      <c r="B43" s="201"/>
      <c r="C43" s="206"/>
      <c r="D43" s="202"/>
      <c r="E43" s="202"/>
      <c r="F43" s="203"/>
    </row>
    <row r="44" spans="1:11" ht="18.75" x14ac:dyDescent="0.2">
      <c r="A44" s="198">
        <v>18</v>
      </c>
      <c r="B44" s="201" t="s">
        <v>205</v>
      </c>
      <c r="C44" s="206">
        <v>0.03</v>
      </c>
      <c r="D44" s="202">
        <f>(D26-D27)*0.4*C44</f>
        <v>333512.03999999998</v>
      </c>
      <c r="E44" s="202"/>
      <c r="F44" s="203"/>
    </row>
    <row r="45" spans="1:11" ht="56.25" x14ac:dyDescent="0.2">
      <c r="A45" s="198">
        <v>19</v>
      </c>
      <c r="B45" s="201" t="s">
        <v>100</v>
      </c>
      <c r="C45" s="206">
        <v>3.5000000000000003E-2</v>
      </c>
      <c r="D45" s="202">
        <f>(D26-D27)*0.4*C45</f>
        <v>389097.38000000006</v>
      </c>
      <c r="E45" s="207"/>
      <c r="F45" s="203"/>
    </row>
    <row r="46" spans="1:11" ht="18.75" x14ac:dyDescent="0.2">
      <c r="A46" s="198">
        <v>20</v>
      </c>
      <c r="B46" s="208" t="s">
        <v>132</v>
      </c>
      <c r="C46" s="209">
        <f>100%-(C29+C30+C31+C32+C42+C43+C44+C45)</f>
        <v>0.83</v>
      </c>
      <c r="D46" s="310">
        <f>(D26-D27)*0.4*C46</f>
        <v>9227166.4399999995</v>
      </c>
      <c r="E46" s="211"/>
      <c r="F46" s="212"/>
    </row>
    <row r="47" spans="1:11" ht="18.75" x14ac:dyDescent="0.2">
      <c r="A47" s="198">
        <v>21</v>
      </c>
      <c r="B47" s="311" t="s">
        <v>22</v>
      </c>
      <c r="C47" s="203"/>
      <c r="D47" s="214">
        <f>SUM(D27:D46)</f>
        <v>15888393.346708797</v>
      </c>
      <c r="E47" s="214">
        <f>SUM(E27:E46)</f>
        <v>0</v>
      </c>
      <c r="F47" s="203"/>
    </row>
    <row r="48" spans="1:11" ht="19.5" x14ac:dyDescent="0.2">
      <c r="A48" s="198">
        <v>22</v>
      </c>
      <c r="B48" s="215" t="s">
        <v>23</v>
      </c>
      <c r="C48" s="203"/>
      <c r="D48" s="202">
        <f>D26-D47</f>
        <v>14104276.653291203</v>
      </c>
      <c r="E48" s="312">
        <f>D26-E47</f>
        <v>29992670</v>
      </c>
      <c r="F48" s="203"/>
    </row>
    <row r="49" spans="1:11" x14ac:dyDescent="0.2">
      <c r="A49" s="216"/>
      <c r="B49" s="216"/>
      <c r="C49" s="216"/>
      <c r="D49" s="216"/>
      <c r="E49" s="217"/>
      <c r="F49" s="216"/>
    </row>
    <row r="50" spans="1:11" ht="36" customHeight="1" x14ac:dyDescent="0.2">
      <c r="A50" s="218"/>
      <c r="B50" s="219" t="s">
        <v>403</v>
      </c>
      <c r="C50" s="313">
        <v>45420</v>
      </c>
      <c r="D50" s="218"/>
      <c r="E50" s="221"/>
      <c r="F50" s="218"/>
    </row>
    <row r="51" spans="1:11" ht="225" customHeight="1" x14ac:dyDescent="0.2">
      <c r="A51" s="218"/>
      <c r="B51" s="219" t="s">
        <v>404</v>
      </c>
      <c r="C51" s="1122" t="s">
        <v>419</v>
      </c>
      <c r="D51" s="1115"/>
      <c r="E51" s="1115"/>
      <c r="F51" s="1116"/>
    </row>
    <row r="52" spans="1:11" ht="36" customHeight="1" x14ac:dyDescent="0.2">
      <c r="A52" s="218"/>
      <c r="B52" s="219" t="s">
        <v>406</v>
      </c>
      <c r="C52" s="1122" t="s">
        <v>420</v>
      </c>
      <c r="D52" s="1115"/>
      <c r="E52" s="1115"/>
      <c r="F52" s="1116"/>
    </row>
    <row r="53" spans="1:11" ht="105.75" customHeight="1" x14ac:dyDescent="0.2">
      <c r="A53" s="218"/>
      <c r="B53" s="219" t="s">
        <v>408</v>
      </c>
      <c r="C53" s="1122" t="s">
        <v>421</v>
      </c>
      <c r="D53" s="1115"/>
      <c r="E53" s="1115"/>
      <c r="F53" s="1116"/>
      <c r="H53" s="314"/>
      <c r="I53" s="314"/>
      <c r="J53" s="262"/>
      <c r="K53" s="262"/>
    </row>
    <row r="54" spans="1:11" ht="118.5" customHeight="1" x14ac:dyDescent="0.2">
      <c r="A54" s="218"/>
      <c r="B54" s="218" t="s">
        <v>302</v>
      </c>
      <c r="C54" s="817" t="s">
        <v>422</v>
      </c>
      <c r="D54" s="818"/>
      <c r="E54" s="818"/>
      <c r="F54" s="819"/>
      <c r="G54" s="262"/>
    </row>
    <row r="55" spans="1:11" ht="89.25" customHeight="1" x14ac:dyDescent="0.2">
      <c r="A55" s="218"/>
      <c r="B55" s="218" t="s">
        <v>303</v>
      </c>
      <c r="C55" s="817" t="s">
        <v>304</v>
      </c>
      <c r="D55" s="818"/>
      <c r="E55" s="818"/>
      <c r="F55" s="819"/>
    </row>
    <row r="56" spans="1:11" ht="54" customHeight="1" x14ac:dyDescent="0.2">
      <c r="A56" s="308"/>
      <c r="B56" s="308"/>
      <c r="C56" s="308"/>
      <c r="D56" s="308"/>
      <c r="E56" s="309"/>
      <c r="F56" s="308"/>
      <c r="H56" s="182"/>
      <c r="I56" s="182"/>
      <c r="J56" s="183"/>
      <c r="K56" s="183"/>
    </row>
    <row r="57" spans="1:11" ht="18.75" x14ac:dyDescent="0.2">
      <c r="A57" s="168"/>
      <c r="B57" s="168"/>
      <c r="C57" s="168"/>
      <c r="D57" s="168"/>
      <c r="E57" s="169"/>
      <c r="F57" s="168"/>
      <c r="H57" s="182"/>
      <c r="I57" s="182"/>
      <c r="J57" s="183"/>
      <c r="K57" s="183"/>
    </row>
    <row r="58" spans="1:11" ht="18.75" x14ac:dyDescent="0.2">
      <c r="A58" s="813" t="s">
        <v>399</v>
      </c>
      <c r="B58" s="814"/>
      <c r="C58" s="814"/>
      <c r="D58" s="814"/>
      <c r="E58" s="815"/>
      <c r="F58" s="816"/>
      <c r="H58" s="182"/>
      <c r="I58" s="182"/>
      <c r="J58" s="183"/>
      <c r="K58" s="183"/>
    </row>
    <row r="59" spans="1:11" ht="18.75" x14ac:dyDescent="0.2">
      <c r="A59" s="813" t="s">
        <v>423</v>
      </c>
      <c r="B59" s="814"/>
      <c r="C59" s="814"/>
      <c r="D59" s="814"/>
      <c r="E59" s="815"/>
      <c r="F59" s="816"/>
      <c r="H59" s="289" t="s">
        <v>348</v>
      </c>
      <c r="I59" s="289"/>
      <c r="J59" s="251" t="s">
        <v>349</v>
      </c>
      <c r="K59" s="290" t="s">
        <v>350</v>
      </c>
    </row>
    <row r="60" spans="1:11" ht="28.5" customHeight="1" x14ac:dyDescent="0.2">
      <c r="A60" s="198">
        <v>1</v>
      </c>
      <c r="B60" s="199" t="s">
        <v>7</v>
      </c>
      <c r="C60" s="200" t="s">
        <v>246</v>
      </c>
      <c r="D60" s="1087">
        <v>18324110</v>
      </c>
      <c r="E60" s="1088"/>
      <c r="F60" s="1089"/>
      <c r="H60" s="292">
        <v>0.1</v>
      </c>
      <c r="I60" s="292"/>
      <c r="J60" s="293">
        <f>D60-D60*H60</f>
        <v>16491699</v>
      </c>
      <c r="K60" s="294">
        <f>J60-D79</f>
        <v>6415588.6600899994</v>
      </c>
    </row>
    <row r="61" spans="1:11" ht="37.5" x14ac:dyDescent="0.2">
      <c r="A61" s="198">
        <v>2</v>
      </c>
      <c r="B61" s="201" t="s">
        <v>413</v>
      </c>
      <c r="C61" s="200"/>
      <c r="D61" s="202">
        <v>2000000</v>
      </c>
      <c r="E61" s="202"/>
      <c r="F61" s="203"/>
      <c r="H61" s="292">
        <v>0.12</v>
      </c>
      <c r="I61" s="292"/>
      <c r="J61" s="293">
        <f>D60-D60*H61</f>
        <v>16125216.800000001</v>
      </c>
      <c r="K61" s="294">
        <f>J61-D79</f>
        <v>6049106.4600900002</v>
      </c>
    </row>
    <row r="62" spans="1:11" ht="37.5" x14ac:dyDescent="0.2">
      <c r="A62" s="198">
        <v>3</v>
      </c>
      <c r="B62" s="201" t="s">
        <v>253</v>
      </c>
      <c r="C62" s="206">
        <v>0.02</v>
      </c>
      <c r="D62" s="202">
        <f>(D60-D61)*0.4*C62</f>
        <v>130592.88</v>
      </c>
      <c r="E62" s="202"/>
      <c r="F62" s="203"/>
      <c r="H62" s="292">
        <v>0.15</v>
      </c>
      <c r="I62" s="292"/>
      <c r="J62" s="293">
        <f>D60-D60*H62</f>
        <v>15575493.5</v>
      </c>
      <c r="K62" s="294">
        <f>J62-D79</f>
        <v>5499383.1600899994</v>
      </c>
    </row>
    <row r="63" spans="1:11" ht="18.75" x14ac:dyDescent="0.2">
      <c r="A63" s="198">
        <v>4</v>
      </c>
      <c r="B63" s="201" t="s">
        <v>11</v>
      </c>
      <c r="C63" s="206">
        <v>0.02</v>
      </c>
      <c r="D63" s="202">
        <f>(D60-D61)*0.4*C63</f>
        <v>130592.88</v>
      </c>
      <c r="E63" s="207"/>
      <c r="F63" s="203"/>
      <c r="H63" s="292">
        <v>0.17</v>
      </c>
      <c r="I63" s="292"/>
      <c r="J63" s="293">
        <f>D60-D60*H63</f>
        <v>15209011.300000001</v>
      </c>
      <c r="K63" s="294">
        <f>J63-D79</f>
        <v>5132900.9600900002</v>
      </c>
    </row>
    <row r="64" spans="1:11" ht="18.75" x14ac:dyDescent="0.2">
      <c r="A64" s="198">
        <v>5</v>
      </c>
      <c r="B64" s="201" t="s">
        <v>118</v>
      </c>
      <c r="C64" s="206">
        <v>0.02</v>
      </c>
      <c r="D64" s="202">
        <f>(D60-D61)*0.4*C64</f>
        <v>130592.88</v>
      </c>
      <c r="E64" s="207"/>
      <c r="F64" s="203"/>
      <c r="H64" s="292">
        <v>0.2</v>
      </c>
      <c r="I64" s="292"/>
      <c r="J64" s="293">
        <f>D60-D60*H64</f>
        <v>14659288</v>
      </c>
      <c r="K64" s="294">
        <f>J64-D79</f>
        <v>4583177.6600899994</v>
      </c>
    </row>
    <row r="65" spans="1:11" ht="18.75" x14ac:dyDescent="0.2">
      <c r="A65" s="198">
        <v>6</v>
      </c>
      <c r="B65" s="201" t="s">
        <v>402</v>
      </c>
      <c r="C65" s="206">
        <v>2.5000000000000001E-2</v>
      </c>
      <c r="D65" s="202">
        <f>(D60-D61)*0.4*C65</f>
        <v>163241.1</v>
      </c>
      <c r="E65" s="207"/>
      <c r="F65" s="203"/>
      <c r="H65" s="292">
        <v>0.23</v>
      </c>
      <c r="I65" s="292"/>
      <c r="J65" s="293">
        <f>D60-D60*H65</f>
        <v>14109564.699999999</v>
      </c>
      <c r="K65" s="294">
        <f>J65-D79</f>
        <v>4033454.3600899987</v>
      </c>
    </row>
    <row r="66" spans="1:11" ht="18.75" x14ac:dyDescent="0.2">
      <c r="A66" s="198">
        <v>7</v>
      </c>
      <c r="B66" s="201" t="s">
        <v>20</v>
      </c>
      <c r="C66" s="206">
        <v>3.2000000000000001E-2</v>
      </c>
      <c r="D66" s="202">
        <f>(D60-D61)*0.4*C66</f>
        <v>208948.60800000001</v>
      </c>
      <c r="E66" s="207"/>
      <c r="F66" s="203"/>
      <c r="H66" s="292">
        <v>0.25</v>
      </c>
      <c r="I66" s="292"/>
      <c r="J66" s="293">
        <f>D60-D60*H66</f>
        <v>13743082.5</v>
      </c>
      <c r="K66" s="294">
        <f>J66-D79</f>
        <v>3666972.1600899994</v>
      </c>
    </row>
    <row r="67" spans="1:11" ht="18.75" x14ac:dyDescent="0.2">
      <c r="A67" s="198">
        <v>8</v>
      </c>
      <c r="B67" s="201" t="s">
        <v>267</v>
      </c>
      <c r="C67" s="206">
        <v>0.03</v>
      </c>
      <c r="D67" s="202">
        <f>(D60-D61)*0.4*C67</f>
        <v>195889.32</v>
      </c>
      <c r="E67" s="207"/>
      <c r="F67" s="203"/>
      <c r="H67" s="295">
        <v>0.3</v>
      </c>
      <c r="I67" s="295"/>
      <c r="J67" s="296">
        <f>D60-D60*H67</f>
        <v>12826877</v>
      </c>
      <c r="K67" s="297">
        <f>J67-D79</f>
        <v>2750766.6600899994</v>
      </c>
    </row>
    <row r="68" spans="1:11" ht="18.75" x14ac:dyDescent="0.2">
      <c r="A68" s="198">
        <v>9</v>
      </c>
      <c r="B68" s="201" t="s">
        <v>256</v>
      </c>
      <c r="C68" s="206">
        <v>0.03</v>
      </c>
      <c r="D68" s="202">
        <f>(D60-D61)*0.4*C68</f>
        <v>195889.32</v>
      </c>
      <c r="E68" s="207"/>
      <c r="F68" s="203"/>
      <c r="H68" s="181"/>
      <c r="I68" s="181"/>
      <c r="J68" s="179"/>
      <c r="K68" s="179"/>
    </row>
    <row r="69" spans="1:11" ht="18.75" x14ac:dyDescent="0.2">
      <c r="A69" s="198">
        <v>10</v>
      </c>
      <c r="B69" s="201" t="s">
        <v>414</v>
      </c>
      <c r="C69" s="206">
        <v>0.03</v>
      </c>
      <c r="D69" s="202">
        <f>(D60-D61)*0.4*C69</f>
        <v>195889.32</v>
      </c>
      <c r="E69" s="207"/>
      <c r="F69" s="203"/>
      <c r="H69" s="181"/>
      <c r="I69" s="181"/>
      <c r="J69" s="179"/>
      <c r="K69" s="179"/>
    </row>
    <row r="70" spans="1:11" ht="18.75" x14ac:dyDescent="0.2">
      <c r="A70" s="198">
        <v>11</v>
      </c>
      <c r="B70" s="201" t="s">
        <v>237</v>
      </c>
      <c r="C70" s="206">
        <v>0.03</v>
      </c>
      <c r="D70" s="202">
        <f>(D60-D61)*0.4*C70</f>
        <v>195889.32</v>
      </c>
      <c r="E70" s="207"/>
      <c r="F70" s="203"/>
      <c r="H70" s="181"/>
      <c r="I70" s="181"/>
      <c r="J70" s="179"/>
      <c r="K70" s="179"/>
    </row>
    <row r="71" spans="1:11" ht="18.75" x14ac:dyDescent="0.2">
      <c r="A71" s="198">
        <v>12</v>
      </c>
      <c r="B71" s="201" t="s">
        <v>262</v>
      </c>
      <c r="C71" s="206">
        <v>1.4999999999999999E-2</v>
      </c>
      <c r="D71" s="202">
        <f>(D60-C71)*0.4*C71</f>
        <v>109944.65991</v>
      </c>
      <c r="E71" s="207"/>
      <c r="F71" s="203"/>
      <c r="H71" s="181"/>
      <c r="I71" s="181"/>
      <c r="J71" s="179"/>
      <c r="K71" s="179"/>
    </row>
    <row r="72" spans="1:11" ht="22.5" customHeight="1" x14ac:dyDescent="0.2">
      <c r="A72" s="198">
        <v>13</v>
      </c>
      <c r="B72" s="201" t="s">
        <v>417</v>
      </c>
      <c r="C72" s="206">
        <v>0.05</v>
      </c>
      <c r="D72" s="202">
        <f>(D60-D61)*0.4*C72</f>
        <v>326482.2</v>
      </c>
      <c r="E72" s="207"/>
      <c r="F72" s="203"/>
      <c r="H72" s="181"/>
      <c r="I72" s="181"/>
      <c r="J72" s="179"/>
      <c r="K72" s="179"/>
    </row>
    <row r="73" spans="1:11" ht="37.5" x14ac:dyDescent="0.2">
      <c r="A73" s="198">
        <v>14</v>
      </c>
      <c r="B73" s="201" t="s">
        <v>418</v>
      </c>
      <c r="C73" s="206">
        <v>0.03</v>
      </c>
      <c r="D73" s="202">
        <f>(D60-D61)*0.4*C73</f>
        <v>195889.32</v>
      </c>
      <c r="E73" s="207"/>
      <c r="F73" s="203"/>
      <c r="H73" s="181"/>
      <c r="I73" s="181"/>
      <c r="J73" s="179"/>
      <c r="K73" s="179"/>
    </row>
    <row r="74" spans="1:11" ht="18.75" hidden="1" x14ac:dyDescent="0.2">
      <c r="A74" s="198">
        <v>15</v>
      </c>
      <c r="B74" s="201" t="s">
        <v>260</v>
      </c>
      <c r="C74" s="206">
        <v>0.03</v>
      </c>
      <c r="D74" s="202">
        <f>(D60-D61)*0.4*C74</f>
        <v>195889.32</v>
      </c>
      <c r="E74" s="202"/>
      <c r="F74" s="203"/>
      <c r="H74" s="298"/>
      <c r="I74" s="298"/>
      <c r="J74" s="299"/>
    </row>
    <row r="75" spans="1:11" ht="18.75" x14ac:dyDescent="0.2">
      <c r="A75" s="198">
        <v>16</v>
      </c>
      <c r="B75" s="201"/>
      <c r="C75" s="206"/>
      <c r="D75" s="202"/>
      <c r="E75" s="202"/>
      <c r="F75" s="203"/>
    </row>
    <row r="76" spans="1:11" ht="18.75" x14ac:dyDescent="0.2">
      <c r="A76" s="198">
        <v>17</v>
      </c>
      <c r="B76" s="201" t="s">
        <v>205</v>
      </c>
      <c r="C76" s="206">
        <v>0.03</v>
      </c>
      <c r="D76" s="202">
        <f>(D60-D61)*0.4*C76</f>
        <v>195889.32</v>
      </c>
      <c r="E76" s="202"/>
      <c r="F76" s="203"/>
    </row>
    <row r="77" spans="1:11" ht="56.25" x14ac:dyDescent="0.2">
      <c r="A77" s="198">
        <v>18</v>
      </c>
      <c r="B77" s="201" t="s">
        <v>100</v>
      </c>
      <c r="C77" s="206">
        <v>3.5000000000000003E-2</v>
      </c>
      <c r="D77" s="202">
        <f>(D60-D61)*0.4*C77</f>
        <v>228537.54</v>
      </c>
      <c r="E77" s="207"/>
      <c r="F77" s="203"/>
    </row>
    <row r="78" spans="1:11" ht="18.75" x14ac:dyDescent="0.2">
      <c r="A78" s="198">
        <v>19</v>
      </c>
      <c r="B78" s="208" t="s">
        <v>132</v>
      </c>
      <c r="C78" s="209">
        <f>100%-(C63+C64+C65+C66+C74+C75+C76+C77)</f>
        <v>0.80800000000000005</v>
      </c>
      <c r="D78" s="310">
        <f>(D60-D61)*0.4*C78</f>
        <v>5275952.352</v>
      </c>
      <c r="E78" s="211"/>
      <c r="F78" s="212"/>
    </row>
    <row r="79" spans="1:11" ht="18.75" x14ac:dyDescent="0.2">
      <c r="A79" s="198">
        <v>20</v>
      </c>
      <c r="B79" s="311" t="s">
        <v>22</v>
      </c>
      <c r="C79" s="203"/>
      <c r="D79" s="214">
        <f>SUM(D61:D78)</f>
        <v>10076110.339910001</v>
      </c>
      <c r="E79" s="214">
        <f>SUM(E61:E78)</f>
        <v>0</v>
      </c>
      <c r="F79" s="203"/>
    </row>
    <row r="80" spans="1:11" ht="19.5" x14ac:dyDescent="0.2">
      <c r="A80" s="198">
        <v>21</v>
      </c>
      <c r="B80" s="215" t="s">
        <v>23</v>
      </c>
      <c r="C80" s="203"/>
      <c r="D80" s="202">
        <f>D60-D79</f>
        <v>8247999.6600899994</v>
      </c>
      <c r="E80" s="312">
        <f>D60-E79</f>
        <v>18324110</v>
      </c>
      <c r="F80" s="203"/>
    </row>
    <row r="81" spans="1:11" x14ac:dyDescent="0.2">
      <c r="A81" s="216"/>
      <c r="B81" s="216"/>
      <c r="C81" s="216"/>
      <c r="D81" s="216"/>
      <c r="E81" s="217"/>
      <c r="F81" s="216"/>
    </row>
    <row r="82" spans="1:11" ht="36" customHeight="1" x14ac:dyDescent="0.2">
      <c r="A82" s="218"/>
      <c r="B82" s="219" t="s">
        <v>403</v>
      </c>
      <c r="C82" s="313">
        <v>45420</v>
      </c>
      <c r="D82" s="218"/>
      <c r="E82" s="221"/>
      <c r="F82" s="218"/>
    </row>
    <row r="83" spans="1:11" ht="225" customHeight="1" x14ac:dyDescent="0.2">
      <c r="A83" s="218"/>
      <c r="B83" s="219" t="s">
        <v>404</v>
      </c>
      <c r="C83" s="1122" t="s">
        <v>424</v>
      </c>
      <c r="D83" s="1115"/>
      <c r="E83" s="1115"/>
      <c r="F83" s="1116"/>
    </row>
    <row r="84" spans="1:11" ht="36" customHeight="1" x14ac:dyDescent="0.2">
      <c r="A84" s="218"/>
      <c r="B84" s="219" t="s">
        <v>406</v>
      </c>
      <c r="C84" s="1122" t="s">
        <v>425</v>
      </c>
      <c r="D84" s="1115"/>
      <c r="E84" s="1115"/>
      <c r="F84" s="1116"/>
    </row>
    <row r="85" spans="1:11" ht="41.25" customHeight="1" x14ac:dyDescent="0.2">
      <c r="A85" s="218"/>
      <c r="B85" s="219" t="s">
        <v>408</v>
      </c>
      <c r="C85" s="1122" t="s">
        <v>426</v>
      </c>
      <c r="D85" s="1115"/>
      <c r="E85" s="1115"/>
      <c r="F85" s="1116"/>
    </row>
    <row r="86" spans="1:11" ht="84" customHeight="1" x14ac:dyDescent="0.2">
      <c r="A86" s="218"/>
      <c r="B86" s="218" t="s">
        <v>302</v>
      </c>
      <c r="C86" s="817" t="s">
        <v>427</v>
      </c>
      <c r="D86" s="818"/>
      <c r="E86" s="818"/>
      <c r="F86" s="819"/>
    </row>
    <row r="87" spans="1:11" ht="95.25" customHeight="1" x14ac:dyDescent="0.2">
      <c r="A87" s="218"/>
      <c r="B87" s="218" t="s">
        <v>303</v>
      </c>
      <c r="C87" s="817" t="s">
        <v>304</v>
      </c>
      <c r="D87" s="818"/>
      <c r="E87" s="818"/>
      <c r="F87" s="819"/>
    </row>
    <row r="88" spans="1:11" ht="18.75" x14ac:dyDescent="0.2">
      <c r="A88" s="813" t="s">
        <v>428</v>
      </c>
      <c r="B88" s="814"/>
      <c r="C88" s="814"/>
      <c r="D88" s="814"/>
      <c r="E88" s="815"/>
      <c r="F88" s="816"/>
      <c r="H88" s="182"/>
      <c r="I88" s="182"/>
      <c r="J88" s="183"/>
      <c r="K88" s="183"/>
    </row>
    <row r="89" spans="1:11" ht="40.5" customHeight="1" x14ac:dyDescent="0.2">
      <c r="A89" s="813" t="s">
        <v>429</v>
      </c>
      <c r="B89" s="814"/>
      <c r="C89" s="814"/>
      <c r="D89" s="814"/>
      <c r="E89" s="815"/>
      <c r="F89" s="816"/>
      <c r="H89" s="289" t="s">
        <v>348</v>
      </c>
      <c r="I89" s="289"/>
      <c r="J89" s="251" t="s">
        <v>349</v>
      </c>
      <c r="K89" s="290" t="s">
        <v>350</v>
      </c>
    </row>
    <row r="90" spans="1:11" ht="19.5" x14ac:dyDescent="0.2">
      <c r="A90" s="198">
        <v>1</v>
      </c>
      <c r="B90" s="199" t="s">
        <v>7</v>
      </c>
      <c r="C90" s="200"/>
      <c r="D90" s="1087">
        <v>24842731.57</v>
      </c>
      <c r="E90" s="1088"/>
      <c r="F90" s="1089"/>
      <c r="H90" s="292">
        <v>0.1</v>
      </c>
      <c r="I90" s="292"/>
      <c r="J90" s="293">
        <f>D90-D90*H90</f>
        <v>22358458.412999999</v>
      </c>
      <c r="K90" s="294">
        <f>J90-D113</f>
        <v>8014325.690460002</v>
      </c>
    </row>
    <row r="91" spans="1:11" ht="19.5" x14ac:dyDescent="0.2">
      <c r="A91" s="198">
        <v>2</v>
      </c>
      <c r="B91" s="201" t="s">
        <v>430</v>
      </c>
      <c r="C91" s="200"/>
      <c r="D91" s="202">
        <v>250000</v>
      </c>
      <c r="E91" s="202"/>
      <c r="F91" s="291"/>
      <c r="H91" s="292">
        <v>0.12</v>
      </c>
      <c r="I91" s="292"/>
      <c r="J91" s="293">
        <f>D90-D90*H91</f>
        <v>21861603.781599998</v>
      </c>
      <c r="K91" s="294">
        <f>J91-D113</f>
        <v>7517471.0590600017</v>
      </c>
    </row>
    <row r="92" spans="1:11" ht="37.5" x14ac:dyDescent="0.2">
      <c r="A92" s="198">
        <v>3</v>
      </c>
      <c r="B92" s="201" t="s">
        <v>413</v>
      </c>
      <c r="C92" s="200"/>
      <c r="D92" s="202">
        <v>2000000</v>
      </c>
      <c r="E92" s="202"/>
      <c r="F92" s="203"/>
      <c r="H92" s="292">
        <v>0.15</v>
      </c>
      <c r="I92" s="292"/>
      <c r="J92" s="293">
        <f>D90-D90*H92</f>
        <v>21116321.8345</v>
      </c>
      <c r="K92" s="294">
        <f>J92-D113</f>
        <v>6772189.1119600032</v>
      </c>
    </row>
    <row r="93" spans="1:11" ht="37.5" x14ac:dyDescent="0.2">
      <c r="A93" s="198">
        <v>4</v>
      </c>
      <c r="B93" s="201" t="s">
        <v>431</v>
      </c>
      <c r="C93" s="200"/>
      <c r="D93" s="202">
        <v>1500000</v>
      </c>
      <c r="E93" s="202"/>
      <c r="F93" s="203"/>
      <c r="H93" s="295">
        <v>0.2</v>
      </c>
      <c r="I93" s="295"/>
      <c r="J93" s="296">
        <f>D90-D90*H93</f>
        <v>19874185.256000001</v>
      </c>
      <c r="K93" s="297">
        <f>J93-D113</f>
        <v>5530052.5334600043</v>
      </c>
    </row>
    <row r="94" spans="1:11" ht="18.75" x14ac:dyDescent="0.2">
      <c r="A94" s="198">
        <v>5</v>
      </c>
      <c r="B94" s="201" t="s">
        <v>432</v>
      </c>
      <c r="C94" s="200"/>
      <c r="D94" s="202">
        <v>500000</v>
      </c>
      <c r="E94" s="202"/>
      <c r="F94" s="203"/>
      <c r="H94" s="181"/>
      <c r="I94" s="181"/>
      <c r="J94" s="179"/>
      <c r="K94" s="179"/>
    </row>
    <row r="95" spans="1:11" ht="37.5" x14ac:dyDescent="0.2">
      <c r="A95" s="198">
        <v>6</v>
      </c>
      <c r="B95" s="201" t="s">
        <v>433</v>
      </c>
      <c r="C95" s="200"/>
      <c r="D95" s="202">
        <v>300000</v>
      </c>
      <c r="E95" s="202"/>
      <c r="F95" s="203"/>
      <c r="H95" s="181"/>
      <c r="I95" s="181"/>
      <c r="J95" s="179"/>
      <c r="K95" s="179"/>
    </row>
    <row r="96" spans="1:11" ht="18.75" x14ac:dyDescent="0.2">
      <c r="A96" s="198">
        <v>7</v>
      </c>
      <c r="B96" s="201" t="s">
        <v>434</v>
      </c>
      <c r="C96" s="200"/>
      <c r="D96" s="202">
        <v>700000</v>
      </c>
      <c r="E96" s="202"/>
      <c r="F96" s="203"/>
      <c r="H96" s="181"/>
      <c r="I96" s="181"/>
      <c r="J96" s="179"/>
      <c r="K96" s="179"/>
    </row>
    <row r="97" spans="1:11" ht="18.75" x14ac:dyDescent="0.2">
      <c r="A97" s="198">
        <v>8</v>
      </c>
      <c r="B97" s="201" t="s">
        <v>435</v>
      </c>
      <c r="C97" s="200"/>
      <c r="D97" s="202">
        <v>1500000</v>
      </c>
      <c r="E97" s="202"/>
      <c r="F97" s="203"/>
      <c r="H97" s="181"/>
      <c r="I97" s="181"/>
      <c r="J97" s="179"/>
      <c r="K97" s="179"/>
    </row>
    <row r="98" spans="1:11" ht="18.75" x14ac:dyDescent="0.2">
      <c r="A98" s="198">
        <v>9</v>
      </c>
      <c r="B98" s="315" t="s">
        <v>436</v>
      </c>
      <c r="C98" s="316">
        <v>0.2</v>
      </c>
      <c r="D98" s="317">
        <f>(D90-(SUM(D91:D97)))*C98</f>
        <v>3618546.3140000002</v>
      </c>
      <c r="E98" s="318"/>
      <c r="F98" s="319"/>
      <c r="H98" s="181"/>
      <c r="I98" s="181"/>
      <c r="J98" s="179"/>
      <c r="K98" s="179"/>
    </row>
    <row r="99" spans="1:11" ht="37.5" x14ac:dyDescent="0.2">
      <c r="A99" s="198">
        <v>10</v>
      </c>
      <c r="B99" s="201" t="s">
        <v>253</v>
      </c>
      <c r="C99" s="206">
        <v>0.08</v>
      </c>
      <c r="D99" s="202">
        <f>D98*C99</f>
        <v>289483.70512</v>
      </c>
      <c r="E99" s="202"/>
      <c r="F99" s="203"/>
      <c r="H99" s="181"/>
      <c r="I99" s="181"/>
      <c r="J99" s="179"/>
      <c r="K99" s="179"/>
    </row>
    <row r="100" spans="1:11" ht="18.75" x14ac:dyDescent="0.2">
      <c r="A100" s="198">
        <v>11</v>
      </c>
      <c r="B100" s="201" t="s">
        <v>11</v>
      </c>
      <c r="C100" s="206">
        <v>0.04</v>
      </c>
      <c r="D100" s="202">
        <f>D98*C100</f>
        <v>144741.85256</v>
      </c>
      <c r="E100" s="207"/>
      <c r="F100" s="203"/>
      <c r="H100" s="181"/>
      <c r="I100" s="181"/>
      <c r="J100" s="179"/>
      <c r="K100" s="179"/>
    </row>
    <row r="101" spans="1:11" ht="18.75" x14ac:dyDescent="0.2">
      <c r="A101" s="198">
        <v>12</v>
      </c>
      <c r="B101" s="201" t="s">
        <v>70</v>
      </c>
      <c r="C101" s="206">
        <v>0.08</v>
      </c>
      <c r="D101" s="202">
        <f>D98*C101</f>
        <v>289483.70512</v>
      </c>
      <c r="E101" s="207"/>
      <c r="F101" s="203"/>
      <c r="H101" s="181"/>
      <c r="I101" s="181"/>
      <c r="J101" s="179"/>
      <c r="K101" s="179"/>
    </row>
    <row r="102" spans="1:11" ht="18.75" x14ac:dyDescent="0.2">
      <c r="A102" s="198">
        <v>13</v>
      </c>
      <c r="B102" s="201" t="s">
        <v>402</v>
      </c>
      <c r="C102" s="206">
        <v>0.05</v>
      </c>
      <c r="D102" s="202">
        <f>D98*C102</f>
        <v>180927.31570000004</v>
      </c>
      <c r="E102" s="207"/>
      <c r="F102" s="203"/>
      <c r="H102" s="181"/>
      <c r="I102" s="181"/>
      <c r="J102" s="179"/>
      <c r="K102" s="179"/>
    </row>
    <row r="103" spans="1:11" ht="18.75" x14ac:dyDescent="0.2">
      <c r="A103" s="198">
        <v>14</v>
      </c>
      <c r="B103" s="201" t="s">
        <v>29</v>
      </c>
      <c r="C103" s="206">
        <v>0.12</v>
      </c>
      <c r="D103" s="202">
        <f>D98*C103</f>
        <v>434225.55768000003</v>
      </c>
      <c r="E103" s="207"/>
      <c r="F103" s="203"/>
      <c r="H103" s="181"/>
      <c r="I103" s="181"/>
      <c r="J103" s="179"/>
      <c r="K103" s="179"/>
    </row>
    <row r="104" spans="1:11" ht="18.75" x14ac:dyDescent="0.2">
      <c r="A104" s="198">
        <v>15</v>
      </c>
      <c r="B104" s="201" t="s">
        <v>437</v>
      </c>
      <c r="C104" s="206">
        <v>0.05</v>
      </c>
      <c r="D104" s="202">
        <f>D98*C104</f>
        <v>180927.31570000004</v>
      </c>
      <c r="E104" s="207"/>
      <c r="F104" s="203"/>
      <c r="H104" s="181"/>
      <c r="I104" s="181"/>
      <c r="J104" s="179"/>
      <c r="K104" s="179"/>
    </row>
    <row r="105" spans="1:11" ht="37.5" x14ac:dyDescent="0.2">
      <c r="A105" s="198">
        <v>16</v>
      </c>
      <c r="B105" s="201" t="s">
        <v>175</v>
      </c>
      <c r="C105" s="206">
        <v>0.06</v>
      </c>
      <c r="D105" s="202">
        <f>D98*C105</f>
        <v>217112.77884000001</v>
      </c>
      <c r="E105" s="207"/>
      <c r="F105" s="203"/>
      <c r="H105" s="181"/>
      <c r="I105" s="181"/>
      <c r="J105" s="179"/>
      <c r="K105" s="179"/>
    </row>
    <row r="106" spans="1:11" ht="56.25" x14ac:dyDescent="0.2">
      <c r="A106" s="198">
        <v>17</v>
      </c>
      <c r="B106" s="201" t="s">
        <v>438</v>
      </c>
      <c r="C106" s="206">
        <v>0.12</v>
      </c>
      <c r="D106" s="202">
        <f>D98*C106</f>
        <v>434225.55768000003</v>
      </c>
      <c r="E106" s="207"/>
      <c r="F106" s="203"/>
      <c r="H106" s="181"/>
      <c r="I106" s="181"/>
      <c r="J106" s="179"/>
      <c r="K106" s="179"/>
    </row>
    <row r="107" spans="1:11" ht="18.75" x14ac:dyDescent="0.2">
      <c r="A107" s="198">
        <v>18</v>
      </c>
      <c r="B107" s="201" t="s">
        <v>439</v>
      </c>
      <c r="C107" s="206">
        <v>0.06</v>
      </c>
      <c r="D107" s="202">
        <f>D98*C107</f>
        <v>217112.77884000001</v>
      </c>
      <c r="E107" s="207"/>
      <c r="F107" s="203"/>
      <c r="H107" s="181"/>
      <c r="I107" s="181"/>
      <c r="J107" s="179"/>
      <c r="K107" s="179"/>
    </row>
    <row r="108" spans="1:11" ht="37.5" x14ac:dyDescent="0.2">
      <c r="A108" s="198">
        <v>19</v>
      </c>
      <c r="B108" s="201" t="s">
        <v>170</v>
      </c>
      <c r="C108" s="206">
        <v>7.0000000000000007E-2</v>
      </c>
      <c r="D108" s="202">
        <f>D98*C108</f>
        <v>253298.24198000005</v>
      </c>
      <c r="E108" s="207"/>
      <c r="F108" s="203"/>
      <c r="H108" s="181"/>
      <c r="I108" s="181"/>
      <c r="J108" s="179"/>
      <c r="K108" s="179"/>
    </row>
    <row r="109" spans="1:11" ht="18.75" x14ac:dyDescent="0.2">
      <c r="A109" s="198">
        <v>20</v>
      </c>
      <c r="B109" s="201" t="s">
        <v>440</v>
      </c>
      <c r="C109" s="206">
        <v>5.5E-2</v>
      </c>
      <c r="D109" s="202">
        <f>D98*C109</f>
        <v>199020.04727000001</v>
      </c>
      <c r="E109" s="207"/>
      <c r="F109" s="203"/>
      <c r="H109" s="181"/>
      <c r="I109" s="181"/>
      <c r="J109" s="179"/>
      <c r="K109" s="179"/>
    </row>
    <row r="110" spans="1:11" ht="18.75" x14ac:dyDescent="0.2">
      <c r="A110" s="198">
        <v>21</v>
      </c>
      <c r="B110" s="201" t="s">
        <v>205</v>
      </c>
      <c r="C110" s="206">
        <v>7.0000000000000007E-2</v>
      </c>
      <c r="D110" s="202">
        <f>D98*C110</f>
        <v>253298.24198000005</v>
      </c>
      <c r="E110" s="202"/>
      <c r="F110" s="203"/>
    </row>
    <row r="111" spans="1:11" ht="56.25" x14ac:dyDescent="0.2">
      <c r="A111" s="198">
        <v>22</v>
      </c>
      <c r="B111" s="201" t="s">
        <v>100</v>
      </c>
      <c r="C111" s="206">
        <v>3.5000000000000003E-2</v>
      </c>
      <c r="D111" s="202">
        <f>D98*C111</f>
        <v>126649.12099000002</v>
      </c>
      <c r="E111" s="207"/>
      <c r="F111" s="203"/>
    </row>
    <row r="112" spans="1:11" ht="18.75" x14ac:dyDescent="0.2">
      <c r="A112" s="198">
        <v>23</v>
      </c>
      <c r="B112" s="208" t="s">
        <v>132</v>
      </c>
      <c r="C112" s="209">
        <f>100%-(SUM(C99:C111))</f>
        <v>0.10999999999999999</v>
      </c>
      <c r="D112" s="310">
        <f>(D90-D92)*0.4*C112</f>
        <v>1005080.1890799999</v>
      </c>
      <c r="E112" s="211"/>
      <c r="F112" s="212"/>
    </row>
    <row r="113" spans="1:11" ht="18.75" x14ac:dyDescent="0.2">
      <c r="A113" s="198">
        <v>24</v>
      </c>
      <c r="B113" s="311" t="s">
        <v>22</v>
      </c>
      <c r="C113" s="203"/>
      <c r="D113" s="214">
        <f>SUM(D92:D112)</f>
        <v>14344132.722539997</v>
      </c>
      <c r="E113" s="214">
        <f>SUM(E92:E112)</f>
        <v>0</v>
      </c>
      <c r="F113" s="203"/>
    </row>
    <row r="114" spans="1:11" ht="19.5" x14ac:dyDescent="0.2">
      <c r="A114" s="198">
        <v>25</v>
      </c>
      <c r="B114" s="215" t="s">
        <v>23</v>
      </c>
      <c r="C114" s="203"/>
      <c r="D114" s="202">
        <f>D90-D113</f>
        <v>10498598.847460004</v>
      </c>
      <c r="E114" s="312">
        <f>D90-E113</f>
        <v>24842731.57</v>
      </c>
      <c r="F114" s="203"/>
    </row>
    <row r="115" spans="1:11" x14ac:dyDescent="0.2">
      <c r="A115" s="216"/>
      <c r="B115" s="216"/>
      <c r="C115" s="216"/>
      <c r="D115" s="216"/>
      <c r="E115" s="217"/>
      <c r="F115" s="216"/>
    </row>
    <row r="116" spans="1:11" ht="36" x14ac:dyDescent="0.2">
      <c r="A116" s="218"/>
      <c r="B116" s="219" t="s">
        <v>403</v>
      </c>
      <c r="C116" s="313">
        <v>45427</v>
      </c>
      <c r="D116" s="218"/>
      <c r="E116" s="221"/>
      <c r="F116" s="218"/>
    </row>
    <row r="117" spans="1:11" ht="42.75" customHeight="1" x14ac:dyDescent="0.2">
      <c r="A117" s="218"/>
      <c r="B117" s="219" t="s">
        <v>404</v>
      </c>
      <c r="C117" s="1122" t="s">
        <v>441</v>
      </c>
      <c r="D117" s="1115"/>
      <c r="E117" s="1115"/>
      <c r="F117" s="1116"/>
    </row>
    <row r="118" spans="1:11" ht="37.5" customHeight="1" x14ac:dyDescent="0.2">
      <c r="A118" s="218"/>
      <c r="B118" s="219" t="s">
        <v>406</v>
      </c>
      <c r="C118" s="1123" t="s">
        <v>442</v>
      </c>
      <c r="D118" s="1115"/>
      <c r="E118" s="1115"/>
      <c r="F118" s="1116"/>
    </row>
    <row r="119" spans="1:11" ht="42.75" customHeight="1" x14ac:dyDescent="0.2">
      <c r="A119" s="218"/>
      <c r="B119" s="219" t="s">
        <v>408</v>
      </c>
      <c r="C119" s="1123" t="s">
        <v>443</v>
      </c>
      <c r="D119" s="1115"/>
      <c r="E119" s="1115"/>
      <c r="F119" s="1116"/>
    </row>
    <row r="120" spans="1:11" ht="38.25" customHeight="1" x14ac:dyDescent="0.2">
      <c r="A120" s="218"/>
      <c r="B120" s="218" t="s">
        <v>302</v>
      </c>
      <c r="C120" s="817" t="s">
        <v>444</v>
      </c>
      <c r="D120" s="818"/>
      <c r="E120" s="818"/>
      <c r="F120" s="819"/>
    </row>
    <row r="121" spans="1:11" x14ac:dyDescent="0.2">
      <c r="A121" s="218"/>
      <c r="B121" s="218" t="s">
        <v>303</v>
      </c>
      <c r="C121" s="817"/>
      <c r="D121" s="818"/>
      <c r="E121" s="818"/>
      <c r="F121" s="819"/>
    </row>
    <row r="122" spans="1:11" ht="18.75" x14ac:dyDescent="0.2">
      <c r="A122" s="308"/>
      <c r="B122" s="308"/>
      <c r="C122" s="308"/>
      <c r="D122" s="308"/>
      <c r="E122" s="309"/>
      <c r="F122" s="308"/>
      <c r="H122" s="182"/>
      <c r="I122" s="182"/>
      <c r="J122" s="183"/>
      <c r="K122" s="183"/>
    </row>
    <row r="123" spans="1:11" ht="18.75" x14ac:dyDescent="0.2">
      <c r="A123" s="168"/>
      <c r="B123" s="168"/>
      <c r="C123" s="168"/>
      <c r="D123" s="168"/>
      <c r="E123" s="169"/>
      <c r="F123" s="168"/>
      <c r="H123" s="182"/>
      <c r="I123" s="182"/>
      <c r="J123" s="183"/>
      <c r="K123" s="183"/>
    </row>
    <row r="124" spans="1:11" ht="18.75" x14ac:dyDescent="0.2">
      <c r="A124" s="813" t="s">
        <v>399</v>
      </c>
      <c r="B124" s="814"/>
      <c r="C124" s="814"/>
      <c r="D124" s="814"/>
      <c r="E124" s="815"/>
      <c r="F124" s="816"/>
      <c r="H124" s="182"/>
      <c r="I124" s="182"/>
      <c r="J124" s="183"/>
      <c r="K124" s="183"/>
    </row>
    <row r="125" spans="1:11" ht="51.75" customHeight="1" x14ac:dyDescent="0.2">
      <c r="A125" s="813" t="s">
        <v>445</v>
      </c>
      <c r="B125" s="814"/>
      <c r="C125" s="814"/>
      <c r="D125" s="814"/>
      <c r="E125" s="815"/>
      <c r="F125" s="816"/>
      <c r="H125" s="289" t="s">
        <v>348</v>
      </c>
      <c r="I125" s="289"/>
      <c r="J125" s="251" t="s">
        <v>349</v>
      </c>
      <c r="K125" s="290" t="s">
        <v>350</v>
      </c>
    </row>
    <row r="126" spans="1:11" ht="19.5" x14ac:dyDescent="0.2">
      <c r="A126" s="198">
        <v>1</v>
      </c>
      <c r="B126" s="199" t="s">
        <v>7</v>
      </c>
      <c r="C126" s="200"/>
      <c r="D126" s="1087">
        <v>17291099.059999999</v>
      </c>
      <c r="E126" s="1088"/>
      <c r="F126" s="1089"/>
      <c r="H126" s="292">
        <v>0.1</v>
      </c>
      <c r="I126" s="292"/>
      <c r="J126" s="293">
        <f>D126-D126*H126</f>
        <v>15561989.153999999</v>
      </c>
      <c r="K126" s="294">
        <f>J126-D148</f>
        <v>5566599.7053450029</v>
      </c>
    </row>
    <row r="127" spans="1:11" ht="19.5" x14ac:dyDescent="0.2">
      <c r="A127" s="198"/>
      <c r="B127" s="201"/>
      <c r="C127" s="200"/>
      <c r="D127" s="202"/>
      <c r="E127" s="202"/>
      <c r="F127" s="320"/>
      <c r="H127" s="292">
        <v>0.12</v>
      </c>
      <c r="I127" s="292"/>
      <c r="J127" s="293">
        <f>D126-D126*H127</f>
        <v>15216167.172799999</v>
      </c>
      <c r="K127" s="294">
        <f>J127-D148</f>
        <v>5220777.7241450027</v>
      </c>
    </row>
    <row r="128" spans="1:11" ht="18.75" x14ac:dyDescent="0.2">
      <c r="A128" s="198">
        <v>2</v>
      </c>
      <c r="B128" s="201" t="s">
        <v>446</v>
      </c>
      <c r="C128" s="200"/>
      <c r="D128" s="202">
        <v>2500000</v>
      </c>
      <c r="E128" s="202"/>
      <c r="F128" s="203"/>
      <c r="H128" s="292">
        <v>0.15</v>
      </c>
      <c r="I128" s="292"/>
      <c r="J128" s="293">
        <f>D126-D126*H128</f>
        <v>14697434.200999999</v>
      </c>
      <c r="K128" s="294">
        <f>J128-D148</f>
        <v>4702044.7523450032</v>
      </c>
    </row>
    <row r="129" spans="1:11" ht="18.75" x14ac:dyDescent="0.2">
      <c r="A129" s="198"/>
      <c r="B129" s="201"/>
      <c r="C129" s="200"/>
      <c r="D129" s="202"/>
      <c r="E129" s="202"/>
      <c r="F129" s="203"/>
      <c r="H129" s="295">
        <v>0.2</v>
      </c>
      <c r="I129" s="295"/>
      <c r="J129" s="296">
        <f>D126-D126*H129</f>
        <v>13832879.248</v>
      </c>
      <c r="K129" s="297">
        <f>J129-D148</f>
        <v>3837489.7993450034</v>
      </c>
    </row>
    <row r="130" spans="1:11" ht="18.75" x14ac:dyDescent="0.2">
      <c r="A130" s="198">
        <v>3</v>
      </c>
      <c r="B130" s="315" t="s">
        <v>436</v>
      </c>
      <c r="C130" s="316">
        <v>0.25</v>
      </c>
      <c r="D130" s="317">
        <f>(D126-(SUM(D127:D129)))*C130</f>
        <v>3697774.7649999997</v>
      </c>
      <c r="E130" s="318"/>
      <c r="F130" s="319"/>
      <c r="H130" s="181"/>
      <c r="I130" s="181"/>
      <c r="J130" s="179"/>
      <c r="K130" s="179"/>
    </row>
    <row r="131" spans="1:11" ht="37.5" x14ac:dyDescent="0.2">
      <c r="A131" s="198">
        <v>4</v>
      </c>
      <c r="B131" s="201" t="s">
        <v>253</v>
      </c>
      <c r="C131" s="206">
        <v>0.06</v>
      </c>
      <c r="D131" s="202">
        <f>D130*C131</f>
        <v>221866.48589999997</v>
      </c>
      <c r="E131" s="202"/>
      <c r="F131" s="203"/>
      <c r="H131" s="181"/>
      <c r="I131" s="181"/>
      <c r="J131" s="179"/>
      <c r="K131" s="179"/>
    </row>
    <row r="132" spans="1:11" ht="18.75" x14ac:dyDescent="0.2">
      <c r="A132" s="198">
        <v>5</v>
      </c>
      <c r="B132" s="201" t="s">
        <v>11</v>
      </c>
      <c r="C132" s="206">
        <v>0.04</v>
      </c>
      <c r="D132" s="202">
        <f>D130*C132</f>
        <v>147910.99059999999</v>
      </c>
      <c r="E132" s="207"/>
      <c r="F132" s="203"/>
      <c r="H132" s="181"/>
      <c r="I132" s="181"/>
      <c r="J132" s="179"/>
      <c r="K132" s="179"/>
    </row>
    <row r="133" spans="1:11" ht="18.75" x14ac:dyDescent="0.2">
      <c r="A133" s="198">
        <v>6</v>
      </c>
      <c r="B133" s="201" t="s">
        <v>26</v>
      </c>
      <c r="C133" s="206">
        <v>0.06</v>
      </c>
      <c r="D133" s="202">
        <f>D130*C133</f>
        <v>221866.48589999997</v>
      </c>
      <c r="E133" s="207"/>
      <c r="F133" s="203"/>
      <c r="H133" s="181"/>
      <c r="I133" s="181"/>
      <c r="J133" s="179"/>
      <c r="K133" s="179"/>
    </row>
    <row r="134" spans="1:11" ht="18.75" x14ac:dyDescent="0.2">
      <c r="A134" s="198">
        <v>7</v>
      </c>
      <c r="B134" s="201" t="s">
        <v>402</v>
      </c>
      <c r="C134" s="206">
        <v>0.05</v>
      </c>
      <c r="D134" s="202">
        <f>D130*C134</f>
        <v>184888.73824999999</v>
      </c>
      <c r="E134" s="207"/>
      <c r="F134" s="203"/>
      <c r="H134" s="181"/>
      <c r="I134" s="181"/>
      <c r="J134" s="179"/>
      <c r="K134" s="179"/>
    </row>
    <row r="135" spans="1:11" ht="18.75" x14ac:dyDescent="0.2">
      <c r="A135" s="198">
        <v>8</v>
      </c>
      <c r="B135" s="201" t="s">
        <v>29</v>
      </c>
      <c r="C135" s="206">
        <v>0.1</v>
      </c>
      <c r="D135" s="202">
        <f>D130*C135</f>
        <v>369777.47649999999</v>
      </c>
      <c r="E135" s="207"/>
      <c r="F135" s="203"/>
      <c r="H135" s="182"/>
      <c r="I135" s="182"/>
      <c r="J135" s="183"/>
      <c r="K135" s="183"/>
    </row>
    <row r="136" spans="1:11" ht="18.75" x14ac:dyDescent="0.2">
      <c r="A136" s="198">
        <v>9</v>
      </c>
      <c r="B136" s="201" t="s">
        <v>437</v>
      </c>
      <c r="C136" s="206">
        <v>7.0000000000000007E-2</v>
      </c>
      <c r="D136" s="202">
        <f>D130*C136</f>
        <v>258844.23355</v>
      </c>
      <c r="E136" s="207"/>
      <c r="F136" s="203"/>
      <c r="H136" s="181"/>
      <c r="I136" s="181"/>
      <c r="J136" s="179"/>
      <c r="K136" s="179"/>
    </row>
    <row r="137" spans="1:11" ht="37.5" x14ac:dyDescent="0.2">
      <c r="A137" s="198">
        <v>10</v>
      </c>
      <c r="B137" s="201" t="s">
        <v>175</v>
      </c>
      <c r="C137" s="206">
        <v>0.06</v>
      </c>
      <c r="D137" s="202">
        <f>D130*C137</f>
        <v>221866.48589999997</v>
      </c>
      <c r="E137" s="207"/>
      <c r="F137" s="203"/>
      <c r="H137" s="181"/>
      <c r="I137" s="181"/>
      <c r="J137" s="179"/>
      <c r="K137" s="179"/>
    </row>
    <row r="138" spans="1:11" ht="56.25" x14ac:dyDescent="0.2">
      <c r="A138" s="198">
        <v>11</v>
      </c>
      <c r="B138" s="201" t="s">
        <v>438</v>
      </c>
      <c r="C138" s="206">
        <v>0.1</v>
      </c>
      <c r="D138" s="202">
        <f>D130*C138</f>
        <v>369777.47649999999</v>
      </c>
      <c r="E138" s="207"/>
      <c r="F138" s="203"/>
      <c r="H138" s="181"/>
      <c r="I138" s="181"/>
      <c r="J138" s="179"/>
      <c r="K138" s="179"/>
    </row>
    <row r="139" spans="1:11" ht="18.75" x14ac:dyDescent="0.2">
      <c r="A139" s="198">
        <v>12</v>
      </c>
      <c r="B139" s="201" t="s">
        <v>439</v>
      </c>
      <c r="C139" s="206">
        <v>0.06</v>
      </c>
      <c r="D139" s="202">
        <f>D130*C139</f>
        <v>221866.48589999997</v>
      </c>
      <c r="E139" s="207"/>
      <c r="F139" s="203"/>
      <c r="H139" s="181"/>
      <c r="I139" s="181"/>
      <c r="J139" s="179"/>
      <c r="K139" s="179"/>
    </row>
    <row r="140" spans="1:11" ht="18.75" x14ac:dyDescent="0.2">
      <c r="A140" s="198">
        <v>13</v>
      </c>
      <c r="B140" s="201" t="s">
        <v>257</v>
      </c>
      <c r="C140" s="206">
        <v>7.0000000000000007E-2</v>
      </c>
      <c r="D140" s="202">
        <f>D130*C140</f>
        <v>258844.23355</v>
      </c>
      <c r="E140" s="207"/>
      <c r="F140" s="203"/>
      <c r="H140" s="181"/>
      <c r="I140" s="181"/>
      <c r="J140" s="179"/>
      <c r="K140" s="179"/>
    </row>
    <row r="141" spans="1:11" ht="18.75" x14ac:dyDescent="0.2">
      <c r="A141" s="198">
        <v>14</v>
      </c>
      <c r="B141" s="201" t="s">
        <v>440</v>
      </c>
      <c r="C141" s="206">
        <v>0.05</v>
      </c>
      <c r="D141" s="202">
        <f>D130*C141</f>
        <v>184888.73824999999</v>
      </c>
      <c r="E141" s="207"/>
      <c r="F141" s="203"/>
      <c r="H141" s="181"/>
      <c r="I141" s="181"/>
      <c r="J141" s="179"/>
      <c r="K141" s="179"/>
    </row>
    <row r="142" spans="1:11" ht="18.75" x14ac:dyDescent="0.2">
      <c r="A142" s="198">
        <v>15</v>
      </c>
      <c r="B142" s="201" t="s">
        <v>272</v>
      </c>
      <c r="C142" s="206">
        <v>0.05</v>
      </c>
      <c r="D142" s="202">
        <f>D130*C142</f>
        <v>184888.73824999999</v>
      </c>
      <c r="E142" s="207"/>
      <c r="F142" s="203"/>
      <c r="H142" s="181"/>
      <c r="I142" s="181"/>
      <c r="J142" s="179"/>
      <c r="K142" s="179"/>
    </row>
    <row r="143" spans="1:11" ht="18.75" x14ac:dyDescent="0.2">
      <c r="A143" s="198">
        <v>16</v>
      </c>
      <c r="B143" s="201" t="s">
        <v>262</v>
      </c>
      <c r="C143" s="206">
        <v>0.04</v>
      </c>
      <c r="D143" s="202">
        <f>D130*C143</f>
        <v>147910.99059999999</v>
      </c>
      <c r="E143" s="207"/>
      <c r="F143" s="203"/>
      <c r="H143" s="181"/>
      <c r="I143" s="181"/>
      <c r="J143" s="179"/>
      <c r="K143" s="179"/>
    </row>
    <row r="144" spans="1:11" ht="18.75" x14ac:dyDescent="0.2">
      <c r="A144" s="198">
        <v>17</v>
      </c>
      <c r="B144" s="201" t="s">
        <v>260</v>
      </c>
      <c r="C144" s="206">
        <v>0.04</v>
      </c>
      <c r="D144" s="202">
        <f>D130*C144</f>
        <v>147910.99059999999</v>
      </c>
      <c r="E144" s="207"/>
      <c r="F144" s="203"/>
      <c r="H144" s="181"/>
      <c r="I144" s="181"/>
      <c r="J144" s="179"/>
      <c r="K144" s="179"/>
    </row>
    <row r="145" spans="1:11" ht="18.75" x14ac:dyDescent="0.2">
      <c r="A145" s="198">
        <v>18</v>
      </c>
      <c r="B145" s="201" t="s">
        <v>205</v>
      </c>
      <c r="C145" s="206">
        <v>7.0000000000000007E-2</v>
      </c>
      <c r="D145" s="202">
        <f>D130*C145</f>
        <v>258844.23355</v>
      </c>
      <c r="E145" s="202"/>
      <c r="F145" s="203"/>
    </row>
    <row r="146" spans="1:11" ht="56.25" x14ac:dyDescent="0.2">
      <c r="A146" s="198">
        <v>19</v>
      </c>
      <c r="B146" s="201" t="s">
        <v>100</v>
      </c>
      <c r="C146" s="206">
        <v>3.5000000000000003E-2</v>
      </c>
      <c r="D146" s="202">
        <f>D130*C146</f>
        <v>129422.116775</v>
      </c>
      <c r="E146" s="207"/>
      <c r="F146" s="203"/>
    </row>
    <row r="147" spans="1:11" ht="18.75" x14ac:dyDescent="0.2">
      <c r="A147" s="198">
        <v>20</v>
      </c>
      <c r="B147" s="208" t="s">
        <v>132</v>
      </c>
      <c r="C147" s="209">
        <f>100%-(SUM(C131:C146))</f>
        <v>4.4999999999999596E-2</v>
      </c>
      <c r="D147" s="310">
        <f>(D126-D128)*0.4*C147</f>
        <v>266239.78307999758</v>
      </c>
      <c r="E147" s="211"/>
      <c r="F147" s="212"/>
    </row>
    <row r="148" spans="1:11" ht="18.75" x14ac:dyDescent="0.2">
      <c r="A148" s="198"/>
      <c r="B148" s="311" t="s">
        <v>22</v>
      </c>
      <c r="C148" s="203"/>
      <c r="D148" s="214">
        <f>SUM(D128:D147)</f>
        <v>9995389.4486549962</v>
      </c>
      <c r="E148" s="214">
        <f>SUM(E128:E147)</f>
        <v>0</v>
      </c>
      <c r="F148" s="203"/>
    </row>
    <row r="149" spans="1:11" ht="19.5" x14ac:dyDescent="0.2">
      <c r="A149" s="198"/>
      <c r="B149" s="215" t="s">
        <v>23</v>
      </c>
      <c r="C149" s="203"/>
      <c r="D149" s="202">
        <f>D126-D148</f>
        <v>7295709.6113450024</v>
      </c>
      <c r="E149" s="312">
        <f>D126-E148</f>
        <v>17291099.059999999</v>
      </c>
      <c r="F149" s="203"/>
    </row>
    <row r="150" spans="1:11" x14ac:dyDescent="0.2">
      <c r="A150" s="216"/>
      <c r="B150" s="216"/>
      <c r="C150" s="216"/>
      <c r="D150" s="216"/>
      <c r="E150" s="217"/>
      <c r="F150" s="216"/>
    </row>
    <row r="151" spans="1:11" ht="36" x14ac:dyDescent="0.2">
      <c r="A151" s="218"/>
      <c r="B151" s="219" t="s">
        <v>403</v>
      </c>
      <c r="C151" s="313">
        <v>45426</v>
      </c>
      <c r="D151" s="218"/>
      <c r="E151" s="221"/>
      <c r="F151" s="218"/>
    </row>
    <row r="152" spans="1:11" ht="154.5" customHeight="1" x14ac:dyDescent="0.2">
      <c r="A152" s="218"/>
      <c r="B152" s="219" t="s">
        <v>404</v>
      </c>
      <c r="C152" s="1122" t="s">
        <v>447</v>
      </c>
      <c r="D152" s="1115"/>
      <c r="E152" s="1115"/>
      <c r="F152" s="1116"/>
    </row>
    <row r="153" spans="1:11" ht="35.25" customHeight="1" x14ac:dyDescent="0.2">
      <c r="A153" s="218"/>
      <c r="B153" s="219" t="s">
        <v>406</v>
      </c>
      <c r="C153" s="1123" t="s">
        <v>448</v>
      </c>
      <c r="D153" s="1115"/>
      <c r="E153" s="1115"/>
      <c r="F153" s="1116"/>
    </row>
    <row r="154" spans="1:11" ht="42.75" customHeight="1" x14ac:dyDescent="0.2">
      <c r="A154" s="218"/>
      <c r="B154" s="219" t="s">
        <v>408</v>
      </c>
      <c r="C154" s="1123" t="s">
        <v>449</v>
      </c>
      <c r="D154" s="1115"/>
      <c r="E154" s="1115"/>
      <c r="F154" s="1116"/>
    </row>
    <row r="155" spans="1:11" ht="55.5" customHeight="1" x14ac:dyDescent="0.2">
      <c r="A155" s="218"/>
      <c r="B155" s="218" t="s">
        <v>302</v>
      </c>
      <c r="C155" s="817" t="s">
        <v>450</v>
      </c>
      <c r="D155" s="818"/>
      <c r="E155" s="818"/>
      <c r="F155" s="819"/>
    </row>
    <row r="156" spans="1:11" x14ac:dyDescent="0.2">
      <c r="A156" s="218"/>
      <c r="B156" s="218" t="s">
        <v>303</v>
      </c>
      <c r="C156" s="817"/>
      <c r="D156" s="818"/>
      <c r="E156" s="818"/>
      <c r="F156" s="819"/>
    </row>
    <row r="157" spans="1:11" x14ac:dyDescent="0.2">
      <c r="A157" s="168" t="s">
        <v>247</v>
      </c>
      <c r="B157" s="168" t="s">
        <v>247</v>
      </c>
      <c r="C157" s="168" t="s">
        <v>247</v>
      </c>
      <c r="D157" s="168" t="s">
        <v>247</v>
      </c>
      <c r="E157" s="169" t="s">
        <v>247</v>
      </c>
      <c r="F157" s="168" t="s">
        <v>247</v>
      </c>
      <c r="G157" s="170"/>
      <c r="H157" s="171"/>
      <c r="I157" s="171"/>
      <c r="J157" s="170"/>
      <c r="K157" s="170"/>
    </row>
    <row r="158" spans="1:11" ht="18.75" x14ac:dyDescent="0.2">
      <c r="A158" s="813" t="s">
        <v>451</v>
      </c>
      <c r="B158" s="814"/>
      <c r="C158" s="814"/>
      <c r="D158" s="814"/>
      <c r="E158" s="814"/>
      <c r="F158" s="816"/>
      <c r="G158" s="170"/>
      <c r="H158" s="171"/>
      <c r="I158" s="171"/>
      <c r="J158" s="170"/>
      <c r="K158" s="170"/>
    </row>
    <row r="159" spans="1:11" ht="18.75" x14ac:dyDescent="0.2">
      <c r="A159" s="813" t="s">
        <v>452</v>
      </c>
      <c r="B159" s="814"/>
      <c r="C159" s="814"/>
      <c r="D159" s="814"/>
      <c r="E159" s="814"/>
      <c r="F159" s="816"/>
      <c r="G159" s="170"/>
      <c r="H159" s="321" t="s">
        <v>348</v>
      </c>
      <c r="I159" s="321"/>
      <c r="J159" s="322" t="s">
        <v>453</v>
      </c>
      <c r="K159" s="323" t="s">
        <v>454</v>
      </c>
    </row>
    <row r="160" spans="1:11" ht="19.5" x14ac:dyDescent="0.2">
      <c r="A160" s="198">
        <v>1</v>
      </c>
      <c r="B160" s="199" t="s">
        <v>7</v>
      </c>
      <c r="C160" s="200"/>
      <c r="D160" s="1087">
        <v>17291099.059999999</v>
      </c>
      <c r="E160" s="1088"/>
      <c r="F160" s="1089"/>
      <c r="G160" s="170"/>
      <c r="H160" s="324">
        <v>0.1</v>
      </c>
      <c r="I160" s="324"/>
      <c r="J160" s="325">
        <v>15435000</v>
      </c>
      <c r="K160" s="326">
        <v>5379262.5</v>
      </c>
    </row>
    <row r="161" spans="1:11" ht="19.5" x14ac:dyDescent="0.2">
      <c r="A161" s="198"/>
      <c r="B161" s="201"/>
      <c r="C161" s="200"/>
      <c r="D161" s="202"/>
      <c r="E161" s="202"/>
      <c r="F161" s="320"/>
      <c r="G161" s="170"/>
      <c r="H161" s="324">
        <v>0.12</v>
      </c>
      <c r="I161" s="324"/>
      <c r="J161" s="325">
        <v>15092000</v>
      </c>
      <c r="K161" s="326">
        <v>5036262.5</v>
      </c>
    </row>
    <row r="162" spans="1:11" ht="18.75" x14ac:dyDescent="0.2">
      <c r="A162" s="198">
        <v>2</v>
      </c>
      <c r="B162" s="201" t="s">
        <v>446</v>
      </c>
      <c r="C162" s="200"/>
      <c r="D162" s="202">
        <v>2500000</v>
      </c>
      <c r="E162" s="202"/>
      <c r="F162" s="203"/>
      <c r="G162" s="170"/>
      <c r="H162" s="324">
        <v>0.15</v>
      </c>
      <c r="I162" s="324"/>
      <c r="J162" s="325">
        <v>14577500</v>
      </c>
      <c r="K162" s="326">
        <v>4521762.5</v>
      </c>
    </row>
    <row r="163" spans="1:11" ht="18.75" x14ac:dyDescent="0.2">
      <c r="A163" s="198"/>
      <c r="B163" s="201"/>
      <c r="C163" s="200"/>
      <c r="D163" s="202"/>
      <c r="E163" s="202"/>
      <c r="F163" s="203"/>
      <c r="G163" s="170"/>
      <c r="H163" s="327">
        <v>0.2</v>
      </c>
      <c r="I163" s="327"/>
      <c r="J163" s="328">
        <v>13720000</v>
      </c>
      <c r="K163" s="329">
        <v>3664262.5</v>
      </c>
    </row>
    <row r="164" spans="1:11" ht="18.75" x14ac:dyDescent="0.2">
      <c r="A164" s="198">
        <v>3</v>
      </c>
      <c r="B164" s="315" t="s">
        <v>436</v>
      </c>
      <c r="C164" s="316">
        <v>0.25</v>
      </c>
      <c r="D164" s="317">
        <f>(D160-(SUM(D161:D163)))*C164</f>
        <v>3697774.7649999997</v>
      </c>
      <c r="E164" s="318"/>
      <c r="F164" s="319"/>
      <c r="G164" s="170"/>
      <c r="H164" s="171"/>
      <c r="I164" s="171"/>
      <c r="J164" s="170"/>
      <c r="K164" s="170"/>
    </row>
    <row r="165" spans="1:11" ht="37.5" x14ac:dyDescent="0.2">
      <c r="A165" s="198">
        <v>4</v>
      </c>
      <c r="B165" s="201" t="s">
        <v>253</v>
      </c>
      <c r="C165" s="206">
        <v>0.06</v>
      </c>
      <c r="D165" s="202">
        <f>D164*C165</f>
        <v>221866.48589999997</v>
      </c>
      <c r="E165" s="202"/>
      <c r="F165" s="203"/>
      <c r="G165" s="170"/>
      <c r="H165" s="171"/>
      <c r="I165" s="171"/>
      <c r="J165" s="170"/>
      <c r="K165" s="170"/>
    </row>
    <row r="166" spans="1:11" ht="18.75" x14ac:dyDescent="0.2">
      <c r="A166" s="198">
        <v>5</v>
      </c>
      <c r="B166" s="201" t="s">
        <v>11</v>
      </c>
      <c r="C166" s="206">
        <v>0.04</v>
      </c>
      <c r="D166" s="202">
        <f>D164*C166</f>
        <v>147910.99059999999</v>
      </c>
      <c r="E166" s="207"/>
      <c r="F166" s="203"/>
      <c r="G166" s="170"/>
      <c r="H166" s="171"/>
      <c r="I166" s="171"/>
      <c r="J166" s="170"/>
      <c r="K166" s="170"/>
    </row>
    <row r="167" spans="1:11" ht="18.75" x14ac:dyDescent="0.2">
      <c r="A167" s="198">
        <v>6</v>
      </c>
      <c r="B167" s="201" t="s">
        <v>26</v>
      </c>
      <c r="C167" s="206">
        <v>0.06</v>
      </c>
      <c r="D167" s="202">
        <f>D164*C167</f>
        <v>221866.48589999997</v>
      </c>
      <c r="E167" s="207"/>
      <c r="F167" s="203"/>
      <c r="G167" s="170"/>
      <c r="H167" s="171"/>
      <c r="I167" s="171"/>
      <c r="J167" s="170"/>
      <c r="K167" s="170"/>
    </row>
    <row r="168" spans="1:11" ht="18.75" x14ac:dyDescent="0.2">
      <c r="A168" s="198">
        <v>7</v>
      </c>
      <c r="B168" s="201" t="s">
        <v>402</v>
      </c>
      <c r="C168" s="206">
        <v>0.05</v>
      </c>
      <c r="D168" s="202">
        <f>D164*C168</f>
        <v>184888.73824999999</v>
      </c>
      <c r="E168" s="207"/>
      <c r="F168" s="203"/>
      <c r="G168" s="170"/>
      <c r="H168" s="171"/>
      <c r="I168" s="171"/>
      <c r="J168" s="170"/>
      <c r="K168" s="170"/>
    </row>
    <row r="169" spans="1:11" ht="18.75" x14ac:dyDescent="0.2">
      <c r="A169" s="198">
        <v>8</v>
      </c>
      <c r="B169" s="201" t="s">
        <v>29</v>
      </c>
      <c r="C169" s="206">
        <v>0.1</v>
      </c>
      <c r="D169" s="202">
        <f>D164*C169</f>
        <v>369777.47649999999</v>
      </c>
      <c r="E169" s="207"/>
      <c r="F169" s="203"/>
      <c r="G169" s="170"/>
      <c r="H169" s="171"/>
      <c r="I169" s="171"/>
      <c r="J169" s="170"/>
      <c r="K169" s="170"/>
    </row>
    <row r="170" spans="1:11" ht="18.75" x14ac:dyDescent="0.2">
      <c r="A170" s="198">
        <v>9</v>
      </c>
      <c r="B170" s="201" t="s">
        <v>437</v>
      </c>
      <c r="C170" s="206">
        <v>7.0000000000000007E-2</v>
      </c>
      <c r="D170" s="202">
        <f>D164*C170</f>
        <v>258844.23355</v>
      </c>
      <c r="E170" s="207"/>
      <c r="F170" s="203"/>
      <c r="G170" s="170"/>
      <c r="H170" s="171"/>
      <c r="I170" s="171"/>
      <c r="J170" s="170"/>
      <c r="K170" s="170"/>
    </row>
    <row r="171" spans="1:11" ht="37.5" x14ac:dyDescent="0.2">
      <c r="A171" s="198">
        <v>10</v>
      </c>
      <c r="B171" s="201" t="s">
        <v>175</v>
      </c>
      <c r="C171" s="206">
        <v>0.06</v>
      </c>
      <c r="D171" s="202">
        <f>D164*C171</f>
        <v>221866.48589999997</v>
      </c>
      <c r="E171" s="207"/>
      <c r="F171" s="203"/>
      <c r="G171" s="170"/>
      <c r="H171" s="171"/>
      <c r="I171" s="171"/>
      <c r="J171" s="170"/>
      <c r="K171" s="170"/>
    </row>
    <row r="172" spans="1:11" ht="56.25" x14ac:dyDescent="0.2">
      <c r="A172" s="198">
        <v>11</v>
      </c>
      <c r="B172" s="201" t="s">
        <v>438</v>
      </c>
      <c r="C172" s="206">
        <v>0.1</v>
      </c>
      <c r="D172" s="202">
        <f>D164*C172</f>
        <v>369777.47649999999</v>
      </c>
      <c r="E172" s="207"/>
      <c r="F172" s="203"/>
      <c r="G172" s="170"/>
      <c r="H172" s="171"/>
      <c r="I172" s="171"/>
      <c r="J172" s="170"/>
      <c r="K172" s="170"/>
    </row>
    <row r="173" spans="1:11" ht="18.75" x14ac:dyDescent="0.2">
      <c r="A173" s="198">
        <v>12</v>
      </c>
      <c r="B173" s="201" t="s">
        <v>439</v>
      </c>
      <c r="C173" s="206">
        <v>0.06</v>
      </c>
      <c r="D173" s="202">
        <f>D164*C173</f>
        <v>221866.48589999997</v>
      </c>
      <c r="E173" s="207"/>
      <c r="F173" s="203"/>
      <c r="G173" s="170"/>
      <c r="H173" s="171"/>
      <c r="I173" s="171"/>
      <c r="J173" s="170"/>
      <c r="K173" s="170"/>
    </row>
    <row r="174" spans="1:11" ht="18.75" x14ac:dyDescent="0.2">
      <c r="A174" s="198">
        <v>13</v>
      </c>
      <c r="B174" s="201" t="s">
        <v>257</v>
      </c>
      <c r="C174" s="206">
        <v>7.0000000000000007E-2</v>
      </c>
      <c r="D174" s="202">
        <f>D164*C174</f>
        <v>258844.23355</v>
      </c>
      <c r="E174" s="207"/>
      <c r="F174" s="203"/>
      <c r="G174" s="170"/>
      <c r="H174" s="171"/>
      <c r="I174" s="171"/>
      <c r="J174" s="170"/>
      <c r="K174" s="170"/>
    </row>
    <row r="175" spans="1:11" ht="18.75" x14ac:dyDescent="0.2">
      <c r="A175" s="198">
        <v>14</v>
      </c>
      <c r="B175" s="201" t="s">
        <v>440</v>
      </c>
      <c r="C175" s="206">
        <v>0.05</v>
      </c>
      <c r="D175" s="202">
        <f>D164*C175</f>
        <v>184888.73824999999</v>
      </c>
      <c r="E175" s="207"/>
      <c r="F175" s="203"/>
      <c r="G175" s="170"/>
      <c r="H175" s="171"/>
      <c r="I175" s="171"/>
      <c r="J175" s="170"/>
      <c r="K175" s="170"/>
    </row>
    <row r="176" spans="1:11" ht="18.75" x14ac:dyDescent="0.2">
      <c r="A176" s="198">
        <v>15</v>
      </c>
      <c r="B176" s="201" t="s">
        <v>272</v>
      </c>
      <c r="C176" s="206">
        <v>0.05</v>
      </c>
      <c r="D176" s="202">
        <f>D164*C176</f>
        <v>184888.73824999999</v>
      </c>
      <c r="E176" s="207"/>
      <c r="F176" s="203"/>
      <c r="G176" s="170"/>
      <c r="H176" s="171"/>
      <c r="I176" s="171"/>
      <c r="J176" s="170"/>
      <c r="K176" s="170"/>
    </row>
    <row r="177" spans="1:11" ht="18.75" x14ac:dyDescent="0.2">
      <c r="A177" s="198">
        <v>16</v>
      </c>
      <c r="B177" s="201" t="s">
        <v>262</v>
      </c>
      <c r="C177" s="206">
        <v>0.04</v>
      </c>
      <c r="D177" s="202">
        <f>D164*C177</f>
        <v>147910.99059999999</v>
      </c>
      <c r="E177" s="207"/>
      <c r="F177" s="203"/>
      <c r="G177" s="170"/>
      <c r="H177" s="171"/>
      <c r="I177" s="171"/>
      <c r="J177" s="170"/>
      <c r="K177" s="170"/>
    </row>
    <row r="178" spans="1:11" ht="18.75" x14ac:dyDescent="0.2">
      <c r="A178" s="198">
        <v>17</v>
      </c>
      <c r="B178" s="201" t="s">
        <v>260</v>
      </c>
      <c r="C178" s="206">
        <v>0.04</v>
      </c>
      <c r="D178" s="202">
        <f>D164*C178</f>
        <v>147910.99059999999</v>
      </c>
      <c r="E178" s="207"/>
      <c r="F178" s="203"/>
      <c r="G178" s="170"/>
      <c r="H178" s="171"/>
      <c r="I178" s="171"/>
      <c r="J178" s="170"/>
      <c r="K178" s="170"/>
    </row>
    <row r="179" spans="1:11" ht="18.75" x14ac:dyDescent="0.2">
      <c r="A179" s="198">
        <v>18</v>
      </c>
      <c r="B179" s="201" t="s">
        <v>205</v>
      </c>
      <c r="C179" s="206">
        <v>7.0000000000000007E-2</v>
      </c>
      <c r="D179" s="202">
        <f>D164*C179</f>
        <v>258844.23355</v>
      </c>
      <c r="E179" s="202"/>
      <c r="F179" s="203"/>
      <c r="G179" s="170"/>
      <c r="H179" s="171"/>
      <c r="I179" s="171"/>
      <c r="J179" s="170"/>
      <c r="K179" s="170"/>
    </row>
    <row r="180" spans="1:11" ht="56.25" x14ac:dyDescent="0.2">
      <c r="A180" s="198">
        <v>19</v>
      </c>
      <c r="B180" s="201" t="s">
        <v>100</v>
      </c>
      <c r="C180" s="206">
        <v>3.5000000000000003E-2</v>
      </c>
      <c r="D180" s="202">
        <f>D164*C180</f>
        <v>129422.116775</v>
      </c>
      <c r="E180" s="207"/>
      <c r="F180" s="203"/>
      <c r="G180" s="170"/>
      <c r="H180" s="171"/>
      <c r="I180" s="171"/>
      <c r="J180" s="170"/>
      <c r="K180" s="170"/>
    </row>
    <row r="181" spans="1:11" ht="18.75" x14ac:dyDescent="0.2">
      <c r="A181" s="198">
        <v>20</v>
      </c>
      <c r="B181" s="208" t="s">
        <v>132</v>
      </c>
      <c r="C181" s="209">
        <f>100%-(SUM(C165:C180))</f>
        <v>4.4999999999999596E-2</v>
      </c>
      <c r="D181" s="310">
        <f>(D160-D162)*0.4*C181</f>
        <v>266239.78307999758</v>
      </c>
      <c r="E181" s="211"/>
      <c r="F181" s="212"/>
      <c r="G181" s="170"/>
      <c r="H181" s="171"/>
      <c r="I181" s="171"/>
      <c r="J181" s="170"/>
      <c r="K181" s="170"/>
    </row>
    <row r="182" spans="1:11" ht="18.75" x14ac:dyDescent="0.2">
      <c r="A182" s="198"/>
      <c r="B182" s="311" t="s">
        <v>22</v>
      </c>
      <c r="C182" s="203"/>
      <c r="D182" s="214">
        <f>SUM(D162:D181)</f>
        <v>9995389.4486549962</v>
      </c>
      <c r="E182" s="214">
        <f>SUM(E162:E181)</f>
        <v>0</v>
      </c>
      <c r="F182" s="203"/>
      <c r="G182" s="170"/>
      <c r="H182" s="171"/>
      <c r="I182" s="171"/>
      <c r="J182" s="170"/>
      <c r="K182" s="170"/>
    </row>
    <row r="183" spans="1:11" ht="19.5" x14ac:dyDescent="0.2">
      <c r="A183" s="198"/>
      <c r="B183" s="215" t="s">
        <v>23</v>
      </c>
      <c r="C183" s="203"/>
      <c r="D183" s="202">
        <f>D160-D182</f>
        <v>7295709.6113450024</v>
      </c>
      <c r="E183" s="312">
        <f>D160-E182</f>
        <v>17291099.059999999</v>
      </c>
      <c r="F183" s="203"/>
      <c r="G183" s="170"/>
      <c r="H183" s="171"/>
      <c r="I183" s="171"/>
      <c r="J183" s="170"/>
      <c r="K183" s="170"/>
    </row>
    <row r="184" spans="1:11" x14ac:dyDescent="0.2">
      <c r="A184" s="216"/>
      <c r="B184" s="216"/>
      <c r="C184" s="216"/>
      <c r="D184" s="216"/>
      <c r="E184" s="217"/>
      <c r="F184" s="216"/>
      <c r="G184" s="170"/>
      <c r="H184" s="171"/>
      <c r="I184" s="171"/>
      <c r="J184" s="170"/>
      <c r="K184" s="170"/>
    </row>
    <row r="185" spans="1:11" ht="18" customHeight="1" x14ac:dyDescent="0.2">
      <c r="A185" s="218"/>
      <c r="B185" s="219" t="s">
        <v>403</v>
      </c>
      <c r="C185" s="313">
        <v>45426</v>
      </c>
      <c r="D185" s="218"/>
      <c r="E185" s="221"/>
      <c r="F185" s="218"/>
      <c r="G185" s="170"/>
      <c r="H185" s="171"/>
      <c r="I185" s="171"/>
      <c r="J185" s="170"/>
      <c r="K185" s="170"/>
    </row>
    <row r="186" spans="1:11" x14ac:dyDescent="0.2">
      <c r="A186" s="218"/>
      <c r="B186" s="219" t="s">
        <v>404</v>
      </c>
      <c r="C186" s="1122" t="s">
        <v>447</v>
      </c>
      <c r="D186" s="1115"/>
      <c r="E186" s="1115"/>
      <c r="F186" s="1116"/>
      <c r="G186" s="170"/>
      <c r="H186" s="171"/>
      <c r="I186" s="171"/>
      <c r="J186" s="170"/>
      <c r="K186" s="170"/>
    </row>
    <row r="187" spans="1:11" ht="36" x14ac:dyDescent="0.2">
      <c r="A187" s="218"/>
      <c r="B187" s="219" t="s">
        <v>406</v>
      </c>
      <c r="C187" s="1123" t="s">
        <v>448</v>
      </c>
      <c r="D187" s="1115"/>
      <c r="E187" s="1115"/>
      <c r="F187" s="1116"/>
      <c r="G187" s="170"/>
      <c r="H187" s="171"/>
      <c r="I187" s="171"/>
      <c r="J187" s="170"/>
      <c r="K187" s="170"/>
    </row>
    <row r="188" spans="1:11" ht="36" customHeight="1" x14ac:dyDescent="0.2">
      <c r="A188" s="218"/>
      <c r="B188" s="219" t="s">
        <v>408</v>
      </c>
      <c r="C188" s="1123" t="s">
        <v>449</v>
      </c>
      <c r="D188" s="1115"/>
      <c r="E188" s="1115"/>
      <c r="F188" s="1116"/>
      <c r="G188" s="170"/>
      <c r="H188" s="171"/>
      <c r="I188" s="171"/>
      <c r="J188" s="170"/>
      <c r="K188" s="170"/>
    </row>
    <row r="189" spans="1:11" x14ac:dyDescent="0.2">
      <c r="A189" s="218"/>
      <c r="B189" s="218" t="s">
        <v>302</v>
      </c>
      <c r="C189" s="817" t="s">
        <v>450</v>
      </c>
      <c r="D189" s="818"/>
      <c r="E189" s="818"/>
      <c r="F189" s="819"/>
      <c r="G189" s="170"/>
      <c r="H189" s="171"/>
      <c r="I189" s="171"/>
      <c r="J189" s="170"/>
      <c r="K189" s="170"/>
    </row>
    <row r="190" spans="1:11" x14ac:dyDescent="0.2">
      <c r="A190" s="218"/>
      <c r="B190" s="218" t="s">
        <v>303</v>
      </c>
      <c r="C190" s="817"/>
      <c r="D190" s="818"/>
      <c r="E190" s="818"/>
      <c r="F190" s="819"/>
      <c r="G190" s="170"/>
      <c r="H190" s="171"/>
      <c r="I190" s="171"/>
      <c r="J190" s="170"/>
      <c r="K190" s="170"/>
    </row>
    <row r="191" spans="1:11" ht="18.75" x14ac:dyDescent="0.2">
      <c r="A191" s="813" t="s">
        <v>399</v>
      </c>
      <c r="B191" s="814"/>
      <c r="C191" s="814"/>
      <c r="D191" s="814"/>
      <c r="E191" s="815"/>
      <c r="F191" s="816"/>
      <c r="H191" s="182"/>
      <c r="I191" s="182"/>
      <c r="J191" s="183"/>
      <c r="K191" s="183"/>
    </row>
    <row r="192" spans="1:11" ht="38.25" customHeight="1" x14ac:dyDescent="0.2">
      <c r="A192" s="813" t="s">
        <v>455</v>
      </c>
      <c r="B192" s="814"/>
      <c r="C192" s="814"/>
      <c r="D192" s="814"/>
      <c r="E192" s="815"/>
      <c r="F192" s="816"/>
      <c r="H192" s="289" t="s">
        <v>348</v>
      </c>
      <c r="I192" s="289"/>
      <c r="J192" s="251" t="s">
        <v>349</v>
      </c>
      <c r="K192" s="290" t="s">
        <v>350</v>
      </c>
    </row>
    <row r="193" spans="1:11" ht="19.5" x14ac:dyDescent="0.2">
      <c r="A193" s="198">
        <v>1</v>
      </c>
      <c r="B193" s="199" t="s">
        <v>7</v>
      </c>
      <c r="C193" s="200"/>
      <c r="D193" s="1087">
        <v>23380728</v>
      </c>
      <c r="E193" s="1088"/>
      <c r="F193" s="1089"/>
      <c r="H193" s="292">
        <v>0.12</v>
      </c>
      <c r="I193" s="292"/>
      <c r="J193" s="293">
        <f>D193-D193*H193</f>
        <v>20575040.640000001</v>
      </c>
      <c r="K193" s="294">
        <f>J193-D214</f>
        <v>9513719.2260000017</v>
      </c>
    </row>
    <row r="194" spans="1:11" ht="37.5" x14ac:dyDescent="0.2">
      <c r="A194" s="198">
        <v>2</v>
      </c>
      <c r="B194" s="201" t="s">
        <v>456</v>
      </c>
      <c r="C194" s="200"/>
      <c r="D194" s="202">
        <v>3000000</v>
      </c>
      <c r="E194" s="202"/>
      <c r="F194" s="320"/>
      <c r="H194" s="292">
        <v>0.15</v>
      </c>
      <c r="I194" s="292"/>
      <c r="J194" s="293">
        <f>D193-D193*H194</f>
        <v>19873618.800000001</v>
      </c>
      <c r="K194" s="294">
        <f>J194-D214</f>
        <v>8812297.3860000018</v>
      </c>
    </row>
    <row r="195" spans="1:11" ht="18.75" x14ac:dyDescent="0.2">
      <c r="A195" s="198">
        <v>3</v>
      </c>
      <c r="B195" s="201" t="s">
        <v>457</v>
      </c>
      <c r="C195" s="200"/>
      <c r="D195" s="202">
        <v>600000</v>
      </c>
      <c r="E195" s="202"/>
      <c r="F195" s="203"/>
      <c r="H195" s="292">
        <v>0.2</v>
      </c>
      <c r="I195" s="292"/>
      <c r="J195" s="293">
        <f>D193-D193*H195</f>
        <v>18704582.399999999</v>
      </c>
      <c r="K195" s="294">
        <f>J195-D214</f>
        <v>7643260.9859999996</v>
      </c>
    </row>
    <row r="196" spans="1:11" ht="18.75" x14ac:dyDescent="0.2">
      <c r="A196" s="198">
        <v>4</v>
      </c>
      <c r="B196" s="201" t="s">
        <v>458</v>
      </c>
      <c r="C196" s="200"/>
      <c r="D196" s="202">
        <v>750000</v>
      </c>
      <c r="E196" s="202"/>
      <c r="F196" s="203"/>
      <c r="H196" s="295">
        <v>0.23</v>
      </c>
      <c r="I196" s="295"/>
      <c r="J196" s="296">
        <f>D193-D193*H196</f>
        <v>18003160.559999999</v>
      </c>
      <c r="K196" s="297">
        <f>J196-D214</f>
        <v>6941839.1459999997</v>
      </c>
    </row>
    <row r="197" spans="1:11" ht="18.75" x14ac:dyDescent="0.2">
      <c r="A197" s="198">
        <v>5</v>
      </c>
      <c r="B197" s="315" t="s">
        <v>436</v>
      </c>
      <c r="C197" s="316">
        <v>0.25</v>
      </c>
      <c r="D197" s="317">
        <f>(D193-(SUM(D194:D196)))*C197</f>
        <v>4757682</v>
      </c>
      <c r="E197" s="318"/>
      <c r="F197" s="319"/>
      <c r="H197" s="181"/>
      <c r="I197" s="181"/>
      <c r="J197" s="179"/>
      <c r="K197" s="179"/>
    </row>
    <row r="198" spans="1:11" ht="37.5" x14ac:dyDescent="0.2">
      <c r="A198" s="198">
        <v>6</v>
      </c>
      <c r="B198" s="201" t="s">
        <v>253</v>
      </c>
      <c r="C198" s="206">
        <v>7.0000000000000007E-2</v>
      </c>
      <c r="D198" s="202">
        <f>D197*C198</f>
        <v>333037.74000000005</v>
      </c>
      <c r="E198" s="202"/>
      <c r="F198" s="203"/>
      <c r="H198" s="181"/>
      <c r="I198" s="181"/>
      <c r="J198" s="179"/>
      <c r="K198" s="179"/>
    </row>
    <row r="199" spans="1:11" ht="18.75" x14ac:dyDescent="0.2">
      <c r="A199" s="198">
        <v>7</v>
      </c>
      <c r="B199" s="201" t="s">
        <v>11</v>
      </c>
      <c r="C199" s="206">
        <v>0.03</v>
      </c>
      <c r="D199" s="202">
        <f>D197*C199</f>
        <v>142730.46</v>
      </c>
      <c r="E199" s="207"/>
      <c r="F199" s="203"/>
      <c r="H199" s="181"/>
      <c r="I199" s="181"/>
      <c r="J199" s="179"/>
      <c r="K199" s="179"/>
    </row>
    <row r="200" spans="1:11" ht="18.75" x14ac:dyDescent="0.2">
      <c r="A200" s="198">
        <v>8</v>
      </c>
      <c r="B200" s="201" t="s">
        <v>26</v>
      </c>
      <c r="C200" s="206">
        <v>7.0000000000000007E-2</v>
      </c>
      <c r="D200" s="202">
        <f>D197*C200</f>
        <v>333037.74000000005</v>
      </c>
      <c r="E200" s="207"/>
      <c r="F200" s="203"/>
      <c r="H200" s="181"/>
      <c r="I200" s="181"/>
      <c r="J200" s="179"/>
      <c r="K200" s="179"/>
    </row>
    <row r="201" spans="1:11" ht="18.75" x14ac:dyDescent="0.2">
      <c r="A201" s="198">
        <v>9</v>
      </c>
      <c r="B201" s="201" t="s">
        <v>402</v>
      </c>
      <c r="C201" s="206">
        <v>0.06</v>
      </c>
      <c r="D201" s="202">
        <f>D197*C201</f>
        <v>285460.92</v>
      </c>
      <c r="E201" s="207"/>
      <c r="F201" s="203"/>
      <c r="H201" s="181"/>
      <c r="I201" s="181"/>
      <c r="J201" s="179"/>
      <c r="K201" s="179"/>
    </row>
    <row r="202" spans="1:11" ht="18.75" x14ac:dyDescent="0.2">
      <c r="A202" s="198">
        <v>10</v>
      </c>
      <c r="B202" s="201" t="s">
        <v>29</v>
      </c>
      <c r="C202" s="206">
        <v>0.06</v>
      </c>
      <c r="D202" s="202">
        <f>D197*C202</f>
        <v>285460.92</v>
      </c>
      <c r="E202" s="207"/>
      <c r="F202" s="203"/>
      <c r="H202" s="182"/>
      <c r="I202" s="182"/>
      <c r="J202" s="183"/>
      <c r="K202" s="183"/>
    </row>
    <row r="203" spans="1:11" ht="18.75" x14ac:dyDescent="0.2">
      <c r="A203" s="198">
        <v>11</v>
      </c>
      <c r="B203" s="201" t="s">
        <v>437</v>
      </c>
      <c r="C203" s="206">
        <v>0.06</v>
      </c>
      <c r="D203" s="202">
        <f>D197*C203</f>
        <v>285460.92</v>
      </c>
      <c r="E203" s="207"/>
      <c r="F203" s="203"/>
      <c r="H203" s="181"/>
      <c r="I203" s="181"/>
      <c r="J203" s="179"/>
      <c r="K203" s="179"/>
    </row>
    <row r="204" spans="1:11" ht="37.5" x14ac:dyDescent="0.2">
      <c r="A204" s="198">
        <v>12</v>
      </c>
      <c r="B204" s="201" t="s">
        <v>459</v>
      </c>
      <c r="C204" s="206">
        <v>0.06</v>
      </c>
      <c r="D204" s="202">
        <f>D197*C204</f>
        <v>285460.92</v>
      </c>
      <c r="E204" s="207"/>
      <c r="F204" s="203"/>
      <c r="H204" s="181"/>
      <c r="I204" s="181"/>
      <c r="J204" s="179"/>
      <c r="K204" s="179"/>
    </row>
    <row r="205" spans="1:11" ht="16.5" customHeight="1" x14ac:dyDescent="0.2">
      <c r="A205" s="198">
        <v>13</v>
      </c>
      <c r="B205" s="201" t="s">
        <v>168</v>
      </c>
      <c r="C205" s="206">
        <v>8.5000000000000006E-2</v>
      </c>
      <c r="D205" s="202">
        <f>D197*C205</f>
        <v>404402.97000000003</v>
      </c>
      <c r="E205" s="207"/>
      <c r="F205" s="203"/>
      <c r="H205" s="181"/>
      <c r="I205" s="181"/>
      <c r="J205" s="179"/>
      <c r="K205" s="179"/>
    </row>
    <row r="206" spans="1:11" ht="18.75" x14ac:dyDescent="0.2">
      <c r="A206" s="198">
        <v>14</v>
      </c>
      <c r="B206" s="201" t="s">
        <v>439</v>
      </c>
      <c r="C206" s="206">
        <v>8.5000000000000006E-2</v>
      </c>
      <c r="D206" s="202">
        <f>D197*C206</f>
        <v>404402.97000000003</v>
      </c>
      <c r="E206" s="207"/>
      <c r="F206" s="203"/>
      <c r="H206" s="181"/>
      <c r="I206" s="181"/>
      <c r="J206" s="179"/>
      <c r="K206" s="179"/>
    </row>
    <row r="207" spans="1:11" ht="18.75" x14ac:dyDescent="0.2">
      <c r="A207" s="198">
        <v>15</v>
      </c>
      <c r="B207" s="201" t="s">
        <v>257</v>
      </c>
      <c r="C207" s="206">
        <v>8.5000000000000006E-2</v>
      </c>
      <c r="D207" s="202">
        <f>D197*C207</f>
        <v>404402.97000000003</v>
      </c>
      <c r="E207" s="207"/>
      <c r="F207" s="203"/>
      <c r="H207" s="181"/>
      <c r="I207" s="181"/>
      <c r="J207" s="179"/>
      <c r="K207" s="179"/>
    </row>
    <row r="208" spans="1:11" ht="18.75" x14ac:dyDescent="0.2">
      <c r="A208" s="198">
        <v>16</v>
      </c>
      <c r="B208" s="201" t="s">
        <v>440</v>
      </c>
      <c r="C208" s="206">
        <v>8.5000000000000006E-2</v>
      </c>
      <c r="D208" s="202">
        <f>D197*C208</f>
        <v>404402.97000000003</v>
      </c>
      <c r="E208" s="207"/>
      <c r="F208" s="203"/>
      <c r="H208" s="181"/>
      <c r="I208" s="181"/>
      <c r="J208" s="179"/>
      <c r="K208" s="179"/>
    </row>
    <row r="209" spans="1:11" ht="18.75" x14ac:dyDescent="0.2">
      <c r="A209" s="198">
        <v>17</v>
      </c>
      <c r="B209" s="201" t="s">
        <v>262</v>
      </c>
      <c r="C209" s="206">
        <v>0.05</v>
      </c>
      <c r="D209" s="202">
        <f>D197*C209</f>
        <v>237884.1</v>
      </c>
      <c r="E209" s="207"/>
      <c r="F209" s="203"/>
      <c r="H209" s="181"/>
      <c r="I209" s="181"/>
      <c r="J209" s="179"/>
      <c r="K209" s="179"/>
    </row>
    <row r="210" spans="1:11" ht="18.75" x14ac:dyDescent="0.2">
      <c r="A210" s="198">
        <v>18</v>
      </c>
      <c r="B210" s="201" t="s">
        <v>260</v>
      </c>
      <c r="C210" s="206">
        <v>0.05</v>
      </c>
      <c r="D210" s="202">
        <f>D197*C210</f>
        <v>237884.1</v>
      </c>
      <c r="E210" s="207"/>
      <c r="F210" s="203"/>
      <c r="H210" s="181"/>
      <c r="I210" s="181"/>
      <c r="J210" s="179"/>
      <c r="K210" s="179"/>
    </row>
    <row r="211" spans="1:11" ht="18.75" x14ac:dyDescent="0.2">
      <c r="A211" s="198">
        <v>19</v>
      </c>
      <c r="B211" s="201" t="s">
        <v>205</v>
      </c>
      <c r="C211" s="206">
        <v>7.0000000000000007E-2</v>
      </c>
      <c r="D211" s="202">
        <f>D197*C211</f>
        <v>333037.74000000005</v>
      </c>
      <c r="E211" s="202"/>
      <c r="F211" s="203"/>
    </row>
    <row r="212" spans="1:11" ht="56.25" x14ac:dyDescent="0.2">
      <c r="A212" s="198">
        <v>20</v>
      </c>
      <c r="B212" s="201" t="s">
        <v>100</v>
      </c>
      <c r="C212" s="206">
        <v>3.5000000000000003E-2</v>
      </c>
      <c r="D212" s="202">
        <f>D197*C212</f>
        <v>166518.87000000002</v>
      </c>
      <c r="E212" s="207"/>
      <c r="F212" s="203"/>
    </row>
    <row r="213" spans="1:11" ht="18.75" x14ac:dyDescent="0.2">
      <c r="A213" s="198">
        <v>21</v>
      </c>
      <c r="B213" s="208" t="s">
        <v>132</v>
      </c>
      <c r="C213" s="209">
        <f>100%-(SUM(C198:C212))</f>
        <v>4.4999999999999818E-2</v>
      </c>
      <c r="D213" s="310">
        <f>(D193-D195)*0.4*C213</f>
        <v>410053.10399999836</v>
      </c>
      <c r="E213" s="211"/>
      <c r="F213" s="212"/>
    </row>
    <row r="214" spans="1:11" ht="18.75" x14ac:dyDescent="0.2">
      <c r="A214" s="198"/>
      <c r="B214" s="311" t="s">
        <v>22</v>
      </c>
      <c r="C214" s="203"/>
      <c r="D214" s="214">
        <f>SUM(D195:D213)</f>
        <v>11061321.413999999</v>
      </c>
      <c r="E214" s="214"/>
      <c r="F214" s="203"/>
    </row>
    <row r="215" spans="1:11" ht="18.75" x14ac:dyDescent="0.2">
      <c r="A215" s="330"/>
      <c r="B215" s="331" t="s">
        <v>23</v>
      </c>
      <c r="C215" s="332"/>
      <c r="D215" s="214">
        <f>D193-D214</f>
        <v>12319406.586000001</v>
      </c>
      <c r="E215" s="333"/>
      <c r="F215" s="203"/>
    </row>
    <row r="216" spans="1:11" x14ac:dyDescent="0.2">
      <c r="A216" s="216"/>
      <c r="B216" s="216"/>
      <c r="C216" s="216"/>
      <c r="D216" s="216"/>
      <c r="E216" s="217"/>
      <c r="F216" s="216"/>
    </row>
    <row r="217" spans="1:11" ht="18" customHeight="1" x14ac:dyDescent="0.2">
      <c r="A217" s="218"/>
      <c r="B217" s="219" t="s">
        <v>403</v>
      </c>
      <c r="C217" s="313">
        <v>45429</v>
      </c>
      <c r="D217" s="218"/>
      <c r="E217" s="221"/>
      <c r="F217" s="218"/>
    </row>
    <row r="218" spans="1:11" ht="138" customHeight="1" x14ac:dyDescent="0.2">
      <c r="A218" s="218"/>
      <c r="B218" s="219" t="s">
        <v>404</v>
      </c>
      <c r="C218" s="1124" t="s">
        <v>460</v>
      </c>
      <c r="D218" s="1125"/>
      <c r="E218" s="1125"/>
      <c r="F218" s="1126"/>
    </row>
    <row r="219" spans="1:11" ht="36" x14ac:dyDescent="0.2">
      <c r="A219" s="218"/>
      <c r="B219" s="219" t="s">
        <v>406</v>
      </c>
      <c r="C219" s="1114">
        <v>233807.28</v>
      </c>
      <c r="D219" s="1115"/>
      <c r="E219" s="1115"/>
      <c r="F219" s="1116"/>
    </row>
    <row r="220" spans="1:11" ht="36" x14ac:dyDescent="0.2">
      <c r="A220" s="218"/>
      <c r="B220" s="219" t="s">
        <v>408</v>
      </c>
      <c r="C220" s="1114">
        <v>7014218.5199999996</v>
      </c>
      <c r="D220" s="1115"/>
      <c r="E220" s="1115"/>
      <c r="F220" s="1116"/>
    </row>
    <row r="221" spans="1:11" ht="47.25" customHeight="1" x14ac:dyDescent="0.2">
      <c r="A221" s="218"/>
      <c r="B221" s="218" t="s">
        <v>302</v>
      </c>
      <c r="C221" s="817" t="s">
        <v>461</v>
      </c>
      <c r="D221" s="818"/>
      <c r="E221" s="818"/>
      <c r="F221" s="819"/>
    </row>
    <row r="222" spans="1:11" x14ac:dyDescent="0.2">
      <c r="A222" s="218"/>
      <c r="B222" s="218" t="s">
        <v>303</v>
      </c>
      <c r="C222" s="817"/>
      <c r="D222" s="818"/>
      <c r="E222" s="818"/>
      <c r="F222" s="819"/>
    </row>
    <row r="223" spans="1:11" ht="79.5" customHeight="1" x14ac:dyDescent="0.2">
      <c r="A223" s="813" t="s">
        <v>102</v>
      </c>
      <c r="B223" s="814"/>
      <c r="C223" s="814"/>
      <c r="D223" s="814"/>
      <c r="E223" s="815"/>
      <c r="F223" s="816"/>
    </row>
    <row r="224" spans="1:11" ht="37.5" x14ac:dyDescent="0.2">
      <c r="A224" s="198">
        <v>1</v>
      </c>
      <c r="B224" s="199" t="s">
        <v>462</v>
      </c>
      <c r="C224" s="200" t="s">
        <v>246</v>
      </c>
      <c r="D224" s="1087">
        <v>5922173</v>
      </c>
      <c r="E224" s="1088"/>
      <c r="F224" s="1089"/>
    </row>
    <row r="225" spans="1:7" ht="18.75" x14ac:dyDescent="0.2">
      <c r="A225" s="198">
        <v>2</v>
      </c>
      <c r="B225" s="201" t="s">
        <v>103</v>
      </c>
      <c r="C225" s="200"/>
      <c r="D225" s="202">
        <v>350000</v>
      </c>
      <c r="E225" s="202">
        <v>225000</v>
      </c>
      <c r="F225" s="203"/>
      <c r="G225" s="180" t="s">
        <v>463</v>
      </c>
    </row>
    <row r="226" spans="1:7" ht="18.75" x14ac:dyDescent="0.2">
      <c r="A226" s="198">
        <v>3</v>
      </c>
      <c r="B226" s="201" t="s">
        <v>464</v>
      </c>
      <c r="C226" s="200"/>
      <c r="D226" s="202"/>
      <c r="E226" s="202"/>
      <c r="F226" s="203"/>
      <c r="G226" s="180" t="s">
        <v>465</v>
      </c>
    </row>
    <row r="227" spans="1:7" ht="18.75" x14ac:dyDescent="0.2">
      <c r="A227" s="198">
        <v>4</v>
      </c>
      <c r="B227" s="201" t="s">
        <v>105</v>
      </c>
      <c r="C227" s="200"/>
      <c r="D227" s="202">
        <v>150000</v>
      </c>
      <c r="E227" s="202"/>
      <c r="F227" s="203"/>
    </row>
    <row r="228" spans="1:7" ht="18.75" x14ac:dyDescent="0.2">
      <c r="A228" s="198">
        <v>5</v>
      </c>
      <c r="B228" s="201" t="s">
        <v>466</v>
      </c>
      <c r="C228" s="200"/>
      <c r="D228" s="202">
        <v>300000</v>
      </c>
      <c r="E228" s="202">
        <v>150000</v>
      </c>
      <c r="F228" s="203"/>
      <c r="G228" s="180" t="s">
        <v>467</v>
      </c>
    </row>
    <row r="229" spans="1:7" ht="37.5" x14ac:dyDescent="0.2">
      <c r="A229" s="198">
        <v>6</v>
      </c>
      <c r="B229" s="201" t="s">
        <v>109</v>
      </c>
      <c r="C229" s="200"/>
      <c r="D229" s="202">
        <v>100000</v>
      </c>
      <c r="E229" s="202"/>
      <c r="F229" s="203"/>
    </row>
    <row r="230" spans="1:7" ht="37.5" x14ac:dyDescent="0.2">
      <c r="A230" s="198">
        <v>7</v>
      </c>
      <c r="B230" s="201" t="s">
        <v>110</v>
      </c>
      <c r="C230" s="200"/>
      <c r="D230" s="202">
        <v>150000</v>
      </c>
      <c r="E230" s="202">
        <v>128900</v>
      </c>
      <c r="F230" s="203"/>
      <c r="G230" s="180" t="s">
        <v>468</v>
      </c>
    </row>
    <row r="231" spans="1:7" ht="18.75" x14ac:dyDescent="0.2">
      <c r="A231" s="198">
        <v>8</v>
      </c>
      <c r="B231" s="201" t="s">
        <v>112</v>
      </c>
      <c r="C231" s="200"/>
      <c r="D231" s="202">
        <v>100000</v>
      </c>
      <c r="E231" s="202">
        <v>25000</v>
      </c>
      <c r="F231" s="203"/>
      <c r="G231" s="180" t="s">
        <v>469</v>
      </c>
    </row>
    <row r="232" spans="1:7" ht="18.75" x14ac:dyDescent="0.2">
      <c r="A232" s="198">
        <v>9</v>
      </c>
      <c r="B232" s="204"/>
      <c r="C232" s="200"/>
      <c r="D232" s="205"/>
      <c r="E232" s="202"/>
      <c r="F232" s="203"/>
      <c r="G232" s="262" t="s">
        <v>470</v>
      </c>
    </row>
    <row r="233" spans="1:7" ht="66.75" customHeight="1" x14ac:dyDescent="0.2">
      <c r="A233" s="198">
        <v>10</v>
      </c>
      <c r="B233" s="204" t="s">
        <v>471</v>
      </c>
      <c r="C233" s="200"/>
      <c r="D233" s="205">
        <v>500500</v>
      </c>
      <c r="E233" s="205">
        <v>500500</v>
      </c>
      <c r="F233" s="203"/>
      <c r="G233" s="262" t="s">
        <v>472</v>
      </c>
    </row>
    <row r="234" spans="1:7" ht="18.75" x14ac:dyDescent="0.2">
      <c r="A234" s="198">
        <v>11</v>
      </c>
      <c r="B234" s="201" t="s">
        <v>118</v>
      </c>
      <c r="C234" s="206">
        <v>0.12</v>
      </c>
      <c r="D234" s="202">
        <f>(D224-D225-D226-D227-D228-D229-D230-D233)*0.4*C234</f>
        <v>209840.304</v>
      </c>
      <c r="E234" s="207"/>
      <c r="F234" s="203"/>
    </row>
    <row r="235" spans="1:7" ht="18.75" x14ac:dyDescent="0.2">
      <c r="A235" s="198">
        <v>12</v>
      </c>
      <c r="B235" s="201" t="s">
        <v>11</v>
      </c>
      <c r="C235" s="206">
        <v>0.04</v>
      </c>
      <c r="D235" s="202">
        <f>(D224-D225-D226-D227-D228-D229-D230-D233)*0.4*C235</f>
        <v>69946.768000000011</v>
      </c>
      <c r="E235" s="207"/>
      <c r="F235" s="203"/>
    </row>
    <row r="236" spans="1:7" ht="18.75" x14ac:dyDescent="0.2">
      <c r="A236" s="198">
        <v>13</v>
      </c>
      <c r="B236" s="201" t="s">
        <v>290</v>
      </c>
      <c r="C236" s="206">
        <v>0.04</v>
      </c>
      <c r="D236" s="202">
        <f>(D224-D225-D226-D227-D228-D229-D230-D233)*0.4*C236</f>
        <v>69946.768000000011</v>
      </c>
      <c r="E236" s="207"/>
      <c r="F236" s="203"/>
    </row>
    <row r="237" spans="1:7" ht="18.75" x14ac:dyDescent="0.2">
      <c r="A237" s="198">
        <v>14</v>
      </c>
      <c r="B237" s="201" t="s">
        <v>267</v>
      </c>
      <c r="C237" s="206">
        <v>0.09</v>
      </c>
      <c r="D237" s="202">
        <f>(D224-D225-D226-D227-D228-D229-D230-D233)*0.4*C237</f>
        <v>157380.228</v>
      </c>
      <c r="E237" s="207"/>
      <c r="F237" s="203"/>
    </row>
    <row r="238" spans="1:7" ht="18.75" x14ac:dyDescent="0.2">
      <c r="A238" s="198">
        <v>15</v>
      </c>
      <c r="B238" s="201" t="s">
        <v>292</v>
      </c>
      <c r="C238" s="206">
        <v>0.08</v>
      </c>
      <c r="D238" s="202">
        <f>(D224-D225-D226-D227-D228-D229-D230-D233)*0.4*C238</f>
        <v>139893.53600000002</v>
      </c>
      <c r="E238" s="207"/>
      <c r="F238" s="203"/>
    </row>
    <row r="239" spans="1:7" ht="18.75" x14ac:dyDescent="0.2">
      <c r="A239" s="198">
        <v>16</v>
      </c>
      <c r="B239" s="201" t="s">
        <v>293</v>
      </c>
      <c r="C239" s="206">
        <v>0.04</v>
      </c>
      <c r="D239" s="202">
        <f>(D224-D225-D226-D227-D228-D229-D230-D233)*0.4*C239</f>
        <v>69946.768000000011</v>
      </c>
      <c r="E239" s="207"/>
      <c r="F239" s="203"/>
    </row>
    <row r="240" spans="1:7" ht="18.75" x14ac:dyDescent="0.2">
      <c r="A240" s="198">
        <v>17</v>
      </c>
      <c r="B240" s="201" t="s">
        <v>294</v>
      </c>
      <c r="C240" s="206">
        <v>0.04</v>
      </c>
      <c r="D240" s="202">
        <f>(D224-D225-D226-D227-D228-D229-D230-D233)*0.4*C240</f>
        <v>69946.768000000011</v>
      </c>
      <c r="E240" s="207"/>
      <c r="F240" s="203"/>
    </row>
    <row r="241" spans="1:6" ht="18.75" x14ac:dyDescent="0.2">
      <c r="A241" s="198">
        <v>18</v>
      </c>
      <c r="B241" s="201" t="s">
        <v>295</v>
      </c>
      <c r="C241" s="206">
        <v>0.04</v>
      </c>
      <c r="D241" s="202">
        <f>(D224-D225-D226-D227-D228-D229-D230-D233)*0.4*C241</f>
        <v>69946.768000000011</v>
      </c>
      <c r="E241" s="207"/>
      <c r="F241" s="203"/>
    </row>
    <row r="242" spans="1:6" ht="18.75" x14ac:dyDescent="0.2">
      <c r="A242" s="198">
        <v>19</v>
      </c>
      <c r="B242" s="201" t="s">
        <v>296</v>
      </c>
      <c r="C242" s="206">
        <v>0.04</v>
      </c>
      <c r="D242" s="202">
        <f>(D224-D225-D226-D227-D228-D229-D230-D233)*0.4*C242</f>
        <v>69946.768000000011</v>
      </c>
      <c r="E242" s="207"/>
      <c r="F242" s="203"/>
    </row>
    <row r="243" spans="1:6" ht="18.75" x14ac:dyDescent="0.2">
      <c r="A243" s="198">
        <v>20</v>
      </c>
      <c r="B243" s="201" t="s">
        <v>297</v>
      </c>
      <c r="C243" s="206">
        <v>0.04</v>
      </c>
      <c r="D243" s="202">
        <f>(D224-D225-D226-D227-D228-D229-D230-D233)*0.4*C243</f>
        <v>69946.768000000011</v>
      </c>
      <c r="E243" s="207"/>
      <c r="F243" s="203"/>
    </row>
    <row r="244" spans="1:6" ht="18.75" x14ac:dyDescent="0.2">
      <c r="A244" s="198">
        <v>21</v>
      </c>
      <c r="B244" s="201" t="s">
        <v>298</v>
      </c>
      <c r="C244" s="206">
        <v>0.04</v>
      </c>
      <c r="D244" s="202">
        <f>(D224-D225-D226-D227-D228-D229-D230-D233)*0.4*C244</f>
        <v>69946.768000000011</v>
      </c>
      <c r="E244" s="207"/>
      <c r="F244" s="203"/>
    </row>
    <row r="245" spans="1:6" ht="18.75" x14ac:dyDescent="0.2">
      <c r="A245" s="198">
        <v>22</v>
      </c>
      <c r="B245" s="201" t="s">
        <v>299</v>
      </c>
      <c r="C245" s="206">
        <v>0.05</v>
      </c>
      <c r="D245" s="202">
        <f>(D224-D225-D226-D227-D228-D229-D230-D233)*0.4*C245</f>
        <v>87433.460000000021</v>
      </c>
      <c r="E245" s="207"/>
      <c r="F245" s="203"/>
    </row>
    <row r="246" spans="1:6" ht="18.75" x14ac:dyDescent="0.2">
      <c r="A246" s="198">
        <v>23</v>
      </c>
      <c r="B246" s="201" t="s">
        <v>272</v>
      </c>
      <c r="C246" s="206">
        <v>0.04</v>
      </c>
      <c r="D246" s="202">
        <f>(D224-D225-D226-D227-D228-D229-D230-D233)*0.4*C246</f>
        <v>69946.768000000011</v>
      </c>
      <c r="E246" s="207"/>
      <c r="F246" s="203"/>
    </row>
    <row r="247" spans="1:6" ht="18.75" x14ac:dyDescent="0.2">
      <c r="A247" s="198">
        <v>24</v>
      </c>
      <c r="B247" s="201" t="s">
        <v>300</v>
      </c>
      <c r="C247" s="206">
        <v>0.04</v>
      </c>
      <c r="D247" s="202">
        <f>(D224-D225-D226-D227-D228-D229-D230-D233)*0.4*C247</f>
        <v>69946.768000000011</v>
      </c>
      <c r="E247" s="207"/>
      <c r="F247" s="203"/>
    </row>
    <row r="248" spans="1:6" ht="18.75" x14ac:dyDescent="0.2">
      <c r="A248" s="198">
        <v>25</v>
      </c>
      <c r="B248" s="201" t="s">
        <v>273</v>
      </c>
      <c r="C248" s="206">
        <v>0.03</v>
      </c>
      <c r="D248" s="202">
        <f>(D224-D225-D226-D227-D228-D229-D230-D233)*0.4*C248</f>
        <v>52460.076000000001</v>
      </c>
      <c r="E248" s="207"/>
      <c r="F248" s="203"/>
    </row>
    <row r="249" spans="1:6" ht="18.75" x14ac:dyDescent="0.2">
      <c r="A249" s="198">
        <v>26</v>
      </c>
      <c r="B249" s="201" t="s">
        <v>262</v>
      </c>
      <c r="C249" s="206">
        <v>0.03</v>
      </c>
      <c r="D249" s="202">
        <f>(D224-D225-D226-D227-D228-D229-D230-D233)*0.4*C249</f>
        <v>52460.076000000001</v>
      </c>
      <c r="E249" s="207"/>
      <c r="F249" s="203"/>
    </row>
    <row r="250" spans="1:6" ht="18.75" x14ac:dyDescent="0.2">
      <c r="A250" s="198"/>
      <c r="B250" s="201"/>
      <c r="C250" s="206"/>
      <c r="D250" s="202"/>
      <c r="E250" s="207"/>
      <c r="F250" s="203"/>
    </row>
    <row r="251" spans="1:6" ht="18.75" x14ac:dyDescent="0.2">
      <c r="A251" s="198">
        <v>28</v>
      </c>
      <c r="B251" s="201" t="s">
        <v>205</v>
      </c>
      <c r="C251" s="206">
        <v>0.05</v>
      </c>
      <c r="D251" s="202">
        <f>(D224-D225-D226-D227-D228-D229-D230-D233)*0.4*C251</f>
        <v>87433.460000000021</v>
      </c>
      <c r="E251" s="202"/>
      <c r="F251" s="203"/>
    </row>
    <row r="252" spans="1:6" ht="56.25" x14ac:dyDescent="0.2">
      <c r="A252" s="198">
        <v>29</v>
      </c>
      <c r="B252" s="201" t="s">
        <v>100</v>
      </c>
      <c r="C252" s="206">
        <v>3.5000000000000003E-2</v>
      </c>
      <c r="D252" s="202">
        <f>(D224-D225-D226-D227-D228-D229-D230-D233)*0.4*C252</f>
        <v>61203.422000000013</v>
      </c>
      <c r="E252" s="207"/>
      <c r="F252" s="203"/>
    </row>
    <row r="253" spans="1:6" ht="18.75" x14ac:dyDescent="0.2">
      <c r="A253" s="198">
        <v>30</v>
      </c>
      <c r="B253" s="208" t="s">
        <v>132</v>
      </c>
      <c r="C253" s="209">
        <f>100%-(SUM(C234:C252))</f>
        <v>0.11499999999999966</v>
      </c>
      <c r="D253" s="310">
        <f>(D224-D225)*0.4*C253</f>
        <v>256319.95799999926</v>
      </c>
      <c r="E253" s="211"/>
      <c r="F253" s="212"/>
    </row>
    <row r="254" spans="1:6" ht="18.75" x14ac:dyDescent="0.2">
      <c r="A254" s="198"/>
      <c r="B254" s="311" t="s">
        <v>22</v>
      </c>
      <c r="C254" s="203"/>
      <c r="D254" s="214">
        <f>SUM(D225:D253)</f>
        <v>3454392.1999999997</v>
      </c>
      <c r="E254" s="214">
        <f>SUM(E225:E253)</f>
        <v>1029400</v>
      </c>
      <c r="F254" s="203"/>
    </row>
    <row r="255" spans="1:6" ht="19.5" x14ac:dyDescent="0.2">
      <c r="A255" s="198"/>
      <c r="B255" s="215" t="s">
        <v>23</v>
      </c>
      <c r="C255" s="203"/>
      <c r="D255" s="202">
        <f>D224-D254</f>
        <v>2467780.8000000003</v>
      </c>
      <c r="E255" s="312">
        <f>D224-E254</f>
        <v>4892773</v>
      </c>
      <c r="F255" s="203"/>
    </row>
    <row r="256" spans="1:6" x14ac:dyDescent="0.2">
      <c r="A256" s="216"/>
      <c r="B256" s="216"/>
      <c r="C256" s="216"/>
      <c r="D256" s="216"/>
      <c r="E256" s="217"/>
      <c r="F256" s="216"/>
    </row>
    <row r="257" spans="1:11" x14ac:dyDescent="0.2">
      <c r="A257" s="218"/>
      <c r="B257" s="219" t="s">
        <v>301</v>
      </c>
      <c r="C257" s="220">
        <v>46041</v>
      </c>
      <c r="D257" s="218"/>
      <c r="E257" s="221"/>
      <c r="F257" s="218"/>
    </row>
    <row r="258" spans="1:11" x14ac:dyDescent="0.2">
      <c r="A258" s="218"/>
      <c r="B258" s="218" t="s">
        <v>302</v>
      </c>
      <c r="C258" s="817" t="s">
        <v>473</v>
      </c>
      <c r="D258" s="818"/>
      <c r="E258" s="818"/>
      <c r="F258" s="819"/>
    </row>
    <row r="259" spans="1:11" x14ac:dyDescent="0.2">
      <c r="A259" s="218"/>
      <c r="B259" s="218" t="s">
        <v>303</v>
      </c>
      <c r="C259" s="817" t="s">
        <v>304</v>
      </c>
      <c r="D259" s="818"/>
      <c r="E259" s="818"/>
      <c r="F259" s="819"/>
    </row>
    <row r="260" spans="1:11" x14ac:dyDescent="0.2">
      <c r="A260" s="168" t="s">
        <v>247</v>
      </c>
      <c r="B260" s="168" t="s">
        <v>247</v>
      </c>
      <c r="C260" s="168" t="s">
        <v>247</v>
      </c>
      <c r="D260" s="168" t="s">
        <v>247</v>
      </c>
      <c r="E260" s="169" t="s">
        <v>247</v>
      </c>
      <c r="F260" s="168" t="s">
        <v>247</v>
      </c>
      <c r="G260" s="170"/>
      <c r="H260" s="171"/>
      <c r="I260" s="171"/>
      <c r="J260" s="170"/>
      <c r="K260" s="170"/>
    </row>
    <row r="261" spans="1:11" ht="20.25" x14ac:dyDescent="0.2">
      <c r="A261" s="1118" t="s">
        <v>474</v>
      </c>
      <c r="B261" s="1119"/>
      <c r="C261" s="1119"/>
      <c r="D261" s="1119"/>
      <c r="E261" s="1120"/>
      <c r="F261" s="1121"/>
      <c r="H261" s="182"/>
      <c r="I261" s="182"/>
      <c r="J261" s="183"/>
      <c r="K261" s="183"/>
    </row>
    <row r="262" spans="1:11" ht="18.75" customHeight="1" x14ac:dyDescent="0.2">
      <c r="A262" s="1118" t="s">
        <v>475</v>
      </c>
      <c r="B262" s="1119"/>
      <c r="C262" s="1119"/>
      <c r="D262" s="1119"/>
      <c r="E262" s="1120"/>
      <c r="F262" s="1121"/>
      <c r="H262" s="289" t="s">
        <v>348</v>
      </c>
      <c r="I262" s="289"/>
      <c r="J262" s="251" t="s">
        <v>349</v>
      </c>
      <c r="K262" s="290" t="s">
        <v>350</v>
      </c>
    </row>
    <row r="263" spans="1:11" ht="19.5" x14ac:dyDescent="0.2">
      <c r="A263" s="198">
        <v>1</v>
      </c>
      <c r="B263" s="199" t="s">
        <v>7</v>
      </c>
      <c r="C263" s="200"/>
      <c r="D263" s="1087">
        <v>11276462.59</v>
      </c>
      <c r="E263" s="1088"/>
      <c r="F263" s="1089"/>
      <c r="H263" s="292">
        <v>0.12</v>
      </c>
      <c r="I263" s="292"/>
      <c r="J263" s="293">
        <f>D263-D263*H263</f>
        <v>9923287.0791999996</v>
      </c>
      <c r="K263" s="294">
        <f>J263-D283</f>
        <v>3915348.3021999998</v>
      </c>
    </row>
    <row r="264" spans="1:11" ht="37.5" x14ac:dyDescent="0.2">
      <c r="A264" s="198">
        <v>2</v>
      </c>
      <c r="B264" s="201" t="s">
        <v>456</v>
      </c>
      <c r="C264" s="200"/>
      <c r="D264" s="202">
        <v>250000</v>
      </c>
      <c r="E264" s="202"/>
      <c r="F264" s="320"/>
      <c r="H264" s="292">
        <v>0.15</v>
      </c>
      <c r="I264" s="292"/>
      <c r="J264" s="293">
        <f>D263-D263*H264</f>
        <v>9584993.2015000004</v>
      </c>
      <c r="K264" s="294">
        <f>J264-D283</f>
        <v>3577054.4245000007</v>
      </c>
    </row>
    <row r="265" spans="1:11" ht="18.75" x14ac:dyDescent="0.2">
      <c r="A265" s="198">
        <v>3</v>
      </c>
      <c r="B265" s="201" t="s">
        <v>476</v>
      </c>
      <c r="C265" s="200"/>
      <c r="D265" s="202">
        <v>3500000</v>
      </c>
      <c r="E265" s="202"/>
      <c r="F265" s="203"/>
      <c r="H265" s="292">
        <v>0.2</v>
      </c>
      <c r="I265" s="292"/>
      <c r="J265" s="293">
        <f>D263-D263*H265</f>
        <v>9021170.0720000006</v>
      </c>
      <c r="K265" s="294">
        <f>J265-D283</f>
        <v>3013231.2950000009</v>
      </c>
    </row>
    <row r="266" spans="1:11" ht="18.75" x14ac:dyDescent="0.2">
      <c r="A266" s="198">
        <v>4</v>
      </c>
      <c r="B266" s="201" t="s">
        <v>477</v>
      </c>
      <c r="C266" s="200"/>
      <c r="D266" s="202"/>
      <c r="E266" s="202"/>
      <c r="F266" s="203"/>
      <c r="H266" s="295">
        <v>0.23</v>
      </c>
      <c r="I266" s="295"/>
      <c r="J266" s="296">
        <f>D263-D263*H266</f>
        <v>8682876.1942999996</v>
      </c>
      <c r="K266" s="297">
        <f>J266-D283</f>
        <v>2674937.4172999999</v>
      </c>
    </row>
    <row r="267" spans="1:11" ht="18.75" x14ac:dyDescent="0.2">
      <c r="A267" s="198">
        <v>5</v>
      </c>
      <c r="B267" s="315" t="s">
        <v>436</v>
      </c>
      <c r="C267" s="316">
        <v>0.3</v>
      </c>
      <c r="D267" s="317">
        <f>(D263-(SUM(D264:D266)))*C267</f>
        <v>2257938.7769999998</v>
      </c>
      <c r="E267" s="318"/>
      <c r="F267" s="319"/>
      <c r="H267" s="181"/>
      <c r="I267" s="181"/>
      <c r="J267" s="179"/>
      <c r="K267" s="179"/>
    </row>
    <row r="268" spans="1:11" ht="37.5" x14ac:dyDescent="0.2">
      <c r="A268" s="198">
        <v>6</v>
      </c>
      <c r="B268" s="201" t="s">
        <v>253</v>
      </c>
      <c r="C268" s="206">
        <v>0.08</v>
      </c>
      <c r="D268" s="202">
        <f>D267*C268</f>
        <v>180635.10215999998</v>
      </c>
      <c r="E268" s="202"/>
      <c r="F268" s="203"/>
      <c r="H268" s="181"/>
      <c r="I268" s="181"/>
      <c r="J268" s="179"/>
      <c r="K268" s="179"/>
    </row>
    <row r="269" spans="1:11" ht="18.75" x14ac:dyDescent="0.2">
      <c r="A269" s="198">
        <v>7</v>
      </c>
      <c r="B269" s="201" t="s">
        <v>11</v>
      </c>
      <c r="C269" s="206">
        <v>0.03</v>
      </c>
      <c r="D269" s="202">
        <f>D267*C269</f>
        <v>67738.163309999989</v>
      </c>
      <c r="E269" s="207"/>
      <c r="F269" s="203"/>
      <c r="H269" s="181"/>
      <c r="I269" s="181"/>
      <c r="J269" s="179"/>
      <c r="K269" s="179"/>
    </row>
    <row r="270" spans="1:11" ht="18.75" x14ac:dyDescent="0.2">
      <c r="A270" s="198">
        <v>8</v>
      </c>
      <c r="B270" s="201" t="s">
        <v>26</v>
      </c>
      <c r="C270" s="206">
        <v>0.08</v>
      </c>
      <c r="D270" s="202">
        <f>D267*C270</f>
        <v>180635.10215999998</v>
      </c>
      <c r="E270" s="207"/>
      <c r="F270" s="203"/>
      <c r="H270" s="181"/>
      <c r="I270" s="181"/>
      <c r="J270" s="179"/>
      <c r="K270" s="179"/>
    </row>
    <row r="271" spans="1:11" ht="18.75" x14ac:dyDescent="0.2">
      <c r="A271" s="198">
        <v>9</v>
      </c>
      <c r="B271" s="201" t="s">
        <v>402</v>
      </c>
      <c r="C271" s="206">
        <v>0.06</v>
      </c>
      <c r="D271" s="202">
        <f>D267*C271</f>
        <v>135476.32661999998</v>
      </c>
      <c r="E271" s="207"/>
      <c r="F271" s="203"/>
      <c r="H271" s="181"/>
      <c r="I271" s="181"/>
      <c r="J271" s="179"/>
      <c r="K271" s="179"/>
    </row>
    <row r="272" spans="1:11" ht="18.75" x14ac:dyDescent="0.2">
      <c r="A272" s="198">
        <v>10</v>
      </c>
      <c r="B272" s="201" t="s">
        <v>29</v>
      </c>
      <c r="C272" s="206">
        <v>0.08</v>
      </c>
      <c r="D272" s="202">
        <f>D267*C272</f>
        <v>180635.10215999998</v>
      </c>
      <c r="E272" s="207"/>
      <c r="F272" s="203"/>
      <c r="H272" s="182"/>
      <c r="I272" s="182"/>
      <c r="J272" s="183"/>
      <c r="K272" s="183"/>
    </row>
    <row r="273" spans="1:11" ht="18.75" x14ac:dyDescent="0.2">
      <c r="A273" s="198">
        <v>11</v>
      </c>
      <c r="B273" s="201" t="s">
        <v>437</v>
      </c>
      <c r="C273" s="206">
        <v>0.06</v>
      </c>
      <c r="D273" s="202">
        <f>D267*C273</f>
        <v>135476.32661999998</v>
      </c>
      <c r="E273" s="207"/>
      <c r="F273" s="203"/>
      <c r="H273" s="181"/>
      <c r="I273" s="181"/>
      <c r="J273" s="179"/>
      <c r="K273" s="179"/>
    </row>
    <row r="274" spans="1:11" ht="37.5" x14ac:dyDescent="0.2">
      <c r="A274" s="198">
        <v>12</v>
      </c>
      <c r="B274" s="201" t="s">
        <v>459</v>
      </c>
      <c r="C274" s="206">
        <v>0.1</v>
      </c>
      <c r="D274" s="202">
        <f>D267*C274</f>
        <v>225793.87769999998</v>
      </c>
      <c r="E274" s="207"/>
      <c r="F274" s="203"/>
      <c r="H274" s="181"/>
      <c r="I274" s="181"/>
      <c r="J274" s="179"/>
      <c r="K274" s="179"/>
    </row>
    <row r="275" spans="1:11" ht="19.5" customHeight="1" x14ac:dyDescent="0.2">
      <c r="A275" s="198">
        <v>13</v>
      </c>
      <c r="B275" s="201" t="s">
        <v>168</v>
      </c>
      <c r="C275" s="206">
        <v>0.09</v>
      </c>
      <c r="D275" s="202">
        <f>D267*C275</f>
        <v>203214.48992999998</v>
      </c>
      <c r="E275" s="207"/>
      <c r="F275" s="203"/>
      <c r="H275" s="181"/>
      <c r="I275" s="181"/>
      <c r="J275" s="179"/>
      <c r="K275" s="179"/>
    </row>
    <row r="276" spans="1:11" ht="18.75" x14ac:dyDescent="0.2">
      <c r="A276" s="198">
        <v>15</v>
      </c>
      <c r="B276" s="201" t="s">
        <v>257</v>
      </c>
      <c r="C276" s="206">
        <v>0.08</v>
      </c>
      <c r="D276" s="202">
        <f>D267*C276</f>
        <v>180635.10215999998</v>
      </c>
      <c r="E276" s="207"/>
      <c r="F276" s="203"/>
      <c r="H276" s="181"/>
      <c r="I276" s="181"/>
      <c r="J276" s="179"/>
      <c r="K276" s="179"/>
    </row>
    <row r="277" spans="1:11" ht="18.75" x14ac:dyDescent="0.2">
      <c r="A277" s="198">
        <v>16</v>
      </c>
      <c r="B277" s="201" t="s">
        <v>440</v>
      </c>
      <c r="C277" s="206">
        <v>0.08</v>
      </c>
      <c r="D277" s="202">
        <f>D267*C277</f>
        <v>180635.10215999998</v>
      </c>
      <c r="E277" s="207"/>
      <c r="F277" s="203"/>
      <c r="H277" s="181"/>
      <c r="I277" s="181"/>
      <c r="J277" s="179"/>
      <c r="K277" s="179"/>
    </row>
    <row r="278" spans="1:11" ht="18.75" x14ac:dyDescent="0.2">
      <c r="A278" s="198">
        <v>17</v>
      </c>
      <c r="B278" s="201" t="s">
        <v>262</v>
      </c>
      <c r="C278" s="206">
        <v>0.05</v>
      </c>
      <c r="D278" s="202">
        <f>D267*C278</f>
        <v>112896.93884999999</v>
      </c>
      <c r="E278" s="207"/>
      <c r="F278" s="203"/>
      <c r="H278" s="181"/>
      <c r="I278" s="181"/>
      <c r="J278" s="179"/>
      <c r="K278" s="179"/>
    </row>
    <row r="279" spans="1:11" ht="18.75" x14ac:dyDescent="0.2">
      <c r="A279" s="198">
        <v>18</v>
      </c>
      <c r="B279" s="201" t="s">
        <v>260</v>
      </c>
      <c r="C279" s="206">
        <v>0.05</v>
      </c>
      <c r="D279" s="202">
        <f>D267*C279</f>
        <v>112896.93884999999</v>
      </c>
      <c r="E279" s="207"/>
      <c r="F279" s="203"/>
      <c r="H279" s="181"/>
      <c r="I279" s="181"/>
      <c r="J279" s="179"/>
      <c r="K279" s="179"/>
    </row>
    <row r="280" spans="1:11" ht="18.75" x14ac:dyDescent="0.2">
      <c r="A280" s="198">
        <v>19</v>
      </c>
      <c r="B280" s="201" t="s">
        <v>205</v>
      </c>
      <c r="C280" s="206">
        <v>0.06</v>
      </c>
      <c r="D280" s="202">
        <f>D267*C280</f>
        <v>135476.32661999998</v>
      </c>
      <c r="E280" s="202"/>
      <c r="F280" s="203"/>
    </row>
    <row r="281" spans="1:11" ht="56.25" x14ac:dyDescent="0.2">
      <c r="A281" s="198">
        <v>20</v>
      </c>
      <c r="B281" s="201" t="s">
        <v>100</v>
      </c>
      <c r="C281" s="206">
        <v>3.5000000000000003E-2</v>
      </c>
      <c r="D281" s="202">
        <f>D267*C281</f>
        <v>79027.857195000004</v>
      </c>
      <c r="E281" s="207"/>
      <c r="F281" s="203"/>
    </row>
    <row r="282" spans="1:11" ht="18.75" x14ac:dyDescent="0.2">
      <c r="A282" s="198">
        <v>21</v>
      </c>
      <c r="B282" s="208" t="s">
        <v>132</v>
      </c>
      <c r="C282" s="209">
        <f>100%-(SUM(C268:C281))</f>
        <v>6.5000000000000058E-2</v>
      </c>
      <c r="D282" s="202">
        <f>D267*C282</f>
        <v>146766.02050500011</v>
      </c>
      <c r="E282" s="211"/>
      <c r="F282" s="212"/>
    </row>
    <row r="283" spans="1:11" ht="18.75" x14ac:dyDescent="0.2">
      <c r="A283" s="198"/>
      <c r="B283" s="311" t="s">
        <v>22</v>
      </c>
      <c r="C283" s="334"/>
      <c r="D283" s="214">
        <f>SUM(D268:D282)+D264+D265+D266</f>
        <v>6007938.7769999998</v>
      </c>
      <c r="E283" s="214"/>
      <c r="F283" s="203"/>
    </row>
    <row r="284" spans="1:11" ht="18.75" x14ac:dyDescent="0.2">
      <c r="A284" s="330"/>
      <c r="B284" s="331" t="s">
        <v>23</v>
      </c>
      <c r="C284" s="332"/>
      <c r="D284" s="214">
        <f>D263-D283</f>
        <v>5268523.8130000001</v>
      </c>
      <c r="E284" s="333"/>
      <c r="F284" s="203"/>
    </row>
    <row r="285" spans="1:11" x14ac:dyDescent="0.2">
      <c r="A285" s="216"/>
      <c r="B285" s="216"/>
      <c r="C285" s="216"/>
      <c r="D285" s="216"/>
      <c r="E285" s="217"/>
      <c r="F285" s="216"/>
    </row>
    <row r="286" spans="1:11" ht="36" x14ac:dyDescent="0.2">
      <c r="A286" s="218"/>
      <c r="B286" s="219" t="s">
        <v>403</v>
      </c>
      <c r="C286" s="313">
        <v>45498</v>
      </c>
      <c r="D286" s="218"/>
      <c r="E286" s="221"/>
      <c r="F286" s="218"/>
    </row>
    <row r="287" spans="1:11" x14ac:dyDescent="0.2">
      <c r="A287" s="218"/>
      <c r="B287" s="219" t="s">
        <v>404</v>
      </c>
      <c r="C287" s="1122" t="s">
        <v>441</v>
      </c>
      <c r="D287" s="1115"/>
      <c r="E287" s="1115"/>
      <c r="F287" s="1116"/>
    </row>
    <row r="288" spans="1:11" ht="18" customHeight="1" x14ac:dyDescent="0.2">
      <c r="A288" s="218"/>
      <c r="B288" s="219" t="s">
        <v>406</v>
      </c>
      <c r="C288" s="1114">
        <v>112764.63</v>
      </c>
      <c r="D288" s="1115"/>
      <c r="E288" s="1115"/>
      <c r="F288" s="1116"/>
    </row>
    <row r="289" spans="1:11" ht="18" customHeight="1" x14ac:dyDescent="0.2">
      <c r="A289" s="218"/>
      <c r="B289" s="219" t="s">
        <v>408</v>
      </c>
      <c r="C289" s="1114">
        <v>563823.13</v>
      </c>
      <c r="D289" s="1115"/>
      <c r="E289" s="1115"/>
      <c r="F289" s="1116"/>
    </row>
    <row r="290" spans="1:11" ht="18" customHeight="1" x14ac:dyDescent="0.2">
      <c r="A290" s="218"/>
      <c r="B290" s="218" t="s">
        <v>302</v>
      </c>
      <c r="C290" s="817" t="s">
        <v>478</v>
      </c>
      <c r="D290" s="818"/>
      <c r="E290" s="818"/>
      <c r="F290" s="819"/>
    </row>
    <row r="291" spans="1:11" ht="18" customHeight="1" x14ac:dyDescent="0.2">
      <c r="A291" s="218"/>
      <c r="B291" s="218" t="s">
        <v>303</v>
      </c>
      <c r="C291" s="817"/>
      <c r="D291" s="818"/>
      <c r="E291" s="818"/>
      <c r="F291" s="819"/>
    </row>
    <row r="292" spans="1:11" x14ac:dyDescent="0.2">
      <c r="A292" s="168" t="s">
        <v>247</v>
      </c>
      <c r="B292" s="168" t="s">
        <v>247</v>
      </c>
      <c r="C292" s="168" t="s">
        <v>247</v>
      </c>
      <c r="D292" s="168" t="s">
        <v>247</v>
      </c>
      <c r="E292" s="169" t="s">
        <v>247</v>
      </c>
      <c r="F292" s="168" t="s">
        <v>247</v>
      </c>
      <c r="G292" s="170"/>
      <c r="H292" s="171"/>
      <c r="I292" s="171"/>
      <c r="J292" s="170"/>
      <c r="K292" s="170"/>
    </row>
    <row r="293" spans="1:11" ht="20.25" x14ac:dyDescent="0.2">
      <c r="A293" s="1118"/>
      <c r="B293" s="1119"/>
      <c r="C293" s="1119"/>
      <c r="D293" s="1119"/>
      <c r="E293" s="1120"/>
      <c r="F293" s="1121"/>
      <c r="H293" s="182"/>
      <c r="I293" s="182"/>
      <c r="J293" s="183"/>
      <c r="K293" s="183"/>
    </row>
    <row r="294" spans="1:11" ht="20.25" x14ac:dyDescent="0.2">
      <c r="A294" s="1118" t="s">
        <v>479</v>
      </c>
      <c r="B294" s="1119"/>
      <c r="C294" s="1119"/>
      <c r="D294" s="1119"/>
      <c r="E294" s="1120"/>
      <c r="F294" s="1121"/>
      <c r="H294" s="289" t="s">
        <v>348</v>
      </c>
      <c r="I294" s="289"/>
      <c r="J294" s="251" t="s">
        <v>349</v>
      </c>
      <c r="K294" s="290" t="s">
        <v>350</v>
      </c>
    </row>
    <row r="295" spans="1:11" ht="19.5" x14ac:dyDescent="0.2">
      <c r="A295" s="198">
        <v>1</v>
      </c>
      <c r="B295" s="199" t="s">
        <v>7</v>
      </c>
      <c r="C295" s="200"/>
      <c r="D295" s="1087">
        <v>60000000</v>
      </c>
      <c r="E295" s="1088"/>
      <c r="F295" s="1089"/>
      <c r="H295" s="292">
        <v>0.12</v>
      </c>
      <c r="I295" s="292"/>
      <c r="J295" s="293">
        <f>D295-D295*H295</f>
        <v>52800000</v>
      </c>
      <c r="K295" s="294">
        <f>J295-D320</f>
        <v>18384000</v>
      </c>
    </row>
    <row r="296" spans="1:11" ht="37.5" x14ac:dyDescent="0.2">
      <c r="A296" s="198">
        <v>2</v>
      </c>
      <c r="B296" s="201" t="s">
        <v>480</v>
      </c>
      <c r="C296" s="200"/>
      <c r="D296" s="202">
        <f>8*770000</f>
        <v>6160000</v>
      </c>
      <c r="E296" s="202"/>
      <c r="F296" s="320"/>
      <c r="H296" s="292">
        <v>0.15</v>
      </c>
      <c r="I296" s="292"/>
      <c r="J296" s="293">
        <f>D295-D295*H296</f>
        <v>51000000</v>
      </c>
      <c r="K296" s="294">
        <f>J296-D320</f>
        <v>16584000</v>
      </c>
    </row>
    <row r="297" spans="1:11" ht="18.75" x14ac:dyDescent="0.2">
      <c r="A297" s="198">
        <v>3</v>
      </c>
      <c r="B297" s="201" t="s">
        <v>476</v>
      </c>
      <c r="C297" s="200"/>
      <c r="D297" s="202">
        <v>5500000</v>
      </c>
      <c r="E297" s="202"/>
      <c r="F297" s="203"/>
      <c r="H297" s="292">
        <v>0.2</v>
      </c>
      <c r="I297" s="292"/>
      <c r="J297" s="293">
        <f>D295-D295*H297</f>
        <v>48000000</v>
      </c>
      <c r="K297" s="294">
        <f>J297-D320</f>
        <v>13584000</v>
      </c>
    </row>
    <row r="298" spans="1:11" ht="18.75" x14ac:dyDescent="0.2">
      <c r="A298" s="198">
        <v>4</v>
      </c>
      <c r="B298" s="201" t="s">
        <v>481</v>
      </c>
      <c r="C298" s="200"/>
      <c r="D298" s="202">
        <v>5700000</v>
      </c>
      <c r="E298" s="202"/>
      <c r="F298" s="203"/>
      <c r="H298" s="295">
        <v>0.23</v>
      </c>
      <c r="I298" s="295"/>
      <c r="J298" s="296">
        <f>D295-D295*H298</f>
        <v>46200000</v>
      </c>
      <c r="K298" s="297">
        <f>J298-D320</f>
        <v>11784000</v>
      </c>
    </row>
    <row r="299" spans="1:11" ht="18.75" x14ac:dyDescent="0.2">
      <c r="A299" s="198">
        <v>5</v>
      </c>
      <c r="B299" s="315" t="s">
        <v>436</v>
      </c>
      <c r="C299" s="316">
        <v>0.4</v>
      </c>
      <c r="D299" s="317">
        <f>(D295-(SUM(D296:D298)))*C299</f>
        <v>17056000</v>
      </c>
      <c r="E299" s="318"/>
      <c r="F299" s="319"/>
      <c r="H299" s="181"/>
      <c r="I299" s="181"/>
      <c r="J299" s="179"/>
      <c r="K299" s="179"/>
    </row>
    <row r="300" spans="1:11" ht="37.5" x14ac:dyDescent="0.2">
      <c r="A300" s="198">
        <v>6</v>
      </c>
      <c r="B300" s="201" t="s">
        <v>253</v>
      </c>
      <c r="C300" s="206">
        <v>0.03</v>
      </c>
      <c r="D300" s="202">
        <f>D299*C300</f>
        <v>511680</v>
      </c>
      <c r="E300" s="202"/>
      <c r="F300" s="203"/>
      <c r="H300" s="181"/>
      <c r="I300" s="181"/>
      <c r="J300" s="179"/>
      <c r="K300" s="179"/>
    </row>
    <row r="301" spans="1:11" ht="18.75" x14ac:dyDescent="0.2">
      <c r="A301" s="198">
        <v>7</v>
      </c>
      <c r="B301" s="201" t="s">
        <v>11</v>
      </c>
      <c r="C301" s="206">
        <v>0.02</v>
      </c>
      <c r="D301" s="202">
        <f>D299*C301</f>
        <v>341120</v>
      </c>
      <c r="E301" s="207"/>
      <c r="F301" s="203"/>
      <c r="H301" s="181"/>
      <c r="I301" s="181"/>
      <c r="J301" s="179"/>
      <c r="K301" s="179"/>
    </row>
    <row r="302" spans="1:11" ht="18.75" x14ac:dyDescent="0.2">
      <c r="A302" s="198">
        <v>8</v>
      </c>
      <c r="B302" s="201" t="s">
        <v>26</v>
      </c>
      <c r="C302" s="206">
        <v>0.05</v>
      </c>
      <c r="D302" s="202">
        <f>D299*C302</f>
        <v>852800</v>
      </c>
      <c r="E302" s="207"/>
      <c r="F302" s="203"/>
      <c r="H302" s="181"/>
      <c r="I302" s="181"/>
      <c r="J302" s="179"/>
      <c r="K302" s="179"/>
    </row>
    <row r="303" spans="1:11" ht="18.75" x14ac:dyDescent="0.2">
      <c r="A303" s="198">
        <v>9</v>
      </c>
      <c r="B303" s="201" t="s">
        <v>402</v>
      </c>
      <c r="C303" s="206">
        <v>2.5000000000000001E-2</v>
      </c>
      <c r="D303" s="202">
        <f>D299*C303</f>
        <v>426400</v>
      </c>
      <c r="E303" s="207"/>
      <c r="F303" s="203"/>
      <c r="H303" s="181"/>
      <c r="I303" s="181"/>
      <c r="J303" s="179"/>
      <c r="K303" s="179"/>
    </row>
    <row r="304" spans="1:11" ht="18.75" x14ac:dyDescent="0.2">
      <c r="A304" s="198">
        <v>10</v>
      </c>
      <c r="B304" s="201" t="s">
        <v>234</v>
      </c>
      <c r="C304" s="206">
        <v>0.04</v>
      </c>
      <c r="D304" s="202">
        <f>D299*C304</f>
        <v>682240</v>
      </c>
      <c r="E304" s="207"/>
      <c r="F304" s="203"/>
      <c r="H304" s="182"/>
      <c r="I304" s="182"/>
      <c r="J304" s="183"/>
      <c r="K304" s="183"/>
    </row>
    <row r="305" spans="1:11" ht="18.75" x14ac:dyDescent="0.2">
      <c r="A305" s="198">
        <v>11</v>
      </c>
      <c r="B305" s="201" t="s">
        <v>255</v>
      </c>
      <c r="C305" s="206">
        <v>0.11</v>
      </c>
      <c r="D305" s="202">
        <f>D299*C305</f>
        <v>1876160</v>
      </c>
      <c r="E305" s="207"/>
      <c r="F305" s="203"/>
      <c r="H305" s="181"/>
      <c r="I305" s="181"/>
      <c r="J305" s="179"/>
      <c r="K305" s="179"/>
    </row>
    <row r="306" spans="1:11" ht="18.75" x14ac:dyDescent="0.2">
      <c r="A306" s="198">
        <v>12</v>
      </c>
      <c r="B306" s="201" t="s">
        <v>256</v>
      </c>
      <c r="C306" s="206">
        <v>0.13</v>
      </c>
      <c r="D306" s="202">
        <f>D299*C306</f>
        <v>2217280</v>
      </c>
      <c r="E306" s="207"/>
      <c r="F306" s="203"/>
      <c r="H306" s="181"/>
      <c r="I306" s="181"/>
      <c r="J306" s="179"/>
      <c r="K306" s="179"/>
    </row>
    <row r="307" spans="1:11" ht="18.75" x14ac:dyDescent="0.2">
      <c r="A307" s="198">
        <v>13</v>
      </c>
      <c r="B307" s="201" t="s">
        <v>168</v>
      </c>
      <c r="C307" s="206">
        <v>7.0000000000000007E-2</v>
      </c>
      <c r="D307" s="202">
        <f>D299*C307</f>
        <v>1193920</v>
      </c>
      <c r="E307" s="207"/>
      <c r="F307" s="203"/>
      <c r="H307" s="181"/>
      <c r="I307" s="181"/>
      <c r="J307" s="179"/>
      <c r="K307" s="179"/>
    </row>
    <row r="308" spans="1:11" ht="18.75" x14ac:dyDescent="0.2">
      <c r="A308" s="198">
        <v>15</v>
      </c>
      <c r="B308" s="201" t="s">
        <v>257</v>
      </c>
      <c r="C308" s="206">
        <v>0.08</v>
      </c>
      <c r="D308" s="202">
        <f>D299*C308</f>
        <v>1364480</v>
      </c>
      <c r="E308" s="207"/>
      <c r="F308" s="203"/>
      <c r="H308" s="181"/>
      <c r="I308" s="181"/>
      <c r="J308" s="179"/>
      <c r="K308" s="179"/>
    </row>
    <row r="309" spans="1:11" ht="18.75" x14ac:dyDescent="0.2">
      <c r="A309" s="198">
        <v>16</v>
      </c>
      <c r="B309" s="201" t="s">
        <v>258</v>
      </c>
      <c r="C309" s="206">
        <v>0.1</v>
      </c>
      <c r="D309" s="202">
        <f>D299*C309</f>
        <v>1705600</v>
      </c>
      <c r="E309" s="207"/>
      <c r="F309" s="203"/>
      <c r="H309" s="181"/>
      <c r="I309" s="181"/>
      <c r="J309" s="179"/>
      <c r="K309" s="179"/>
    </row>
    <row r="310" spans="1:11" ht="18.75" x14ac:dyDescent="0.2">
      <c r="A310" s="198">
        <v>17</v>
      </c>
      <c r="B310" s="201" t="s">
        <v>259</v>
      </c>
      <c r="C310" s="206">
        <v>0.05</v>
      </c>
      <c r="D310" s="202">
        <f>D299*C310</f>
        <v>852800</v>
      </c>
      <c r="E310" s="207"/>
      <c r="F310" s="203"/>
      <c r="H310" s="181"/>
      <c r="I310" s="181"/>
      <c r="J310" s="179"/>
      <c r="K310" s="179"/>
    </row>
    <row r="311" spans="1:11" ht="18.75" x14ac:dyDescent="0.2">
      <c r="A311" s="198">
        <v>18</v>
      </c>
      <c r="B311" s="201" t="s">
        <v>260</v>
      </c>
      <c r="C311" s="206">
        <v>0.03</v>
      </c>
      <c r="D311" s="202">
        <f>D299*C311</f>
        <v>511680</v>
      </c>
      <c r="E311" s="207"/>
      <c r="F311" s="203"/>
      <c r="H311" s="181"/>
      <c r="I311" s="181"/>
      <c r="J311" s="179"/>
      <c r="K311" s="179"/>
    </row>
    <row r="312" spans="1:11" ht="18.75" x14ac:dyDescent="0.2">
      <c r="A312" s="198">
        <v>19</v>
      </c>
      <c r="B312" s="201" t="s">
        <v>272</v>
      </c>
      <c r="C312" s="206">
        <v>0.03</v>
      </c>
      <c r="D312" s="202">
        <f>D299*C312</f>
        <v>511680</v>
      </c>
      <c r="E312" s="207"/>
      <c r="F312" s="203"/>
      <c r="H312" s="181"/>
      <c r="I312" s="181"/>
      <c r="J312" s="179"/>
      <c r="K312" s="179"/>
    </row>
    <row r="313" spans="1:11" ht="18.75" x14ac:dyDescent="0.2">
      <c r="A313" s="198">
        <v>20</v>
      </c>
      <c r="B313" s="201" t="s">
        <v>261</v>
      </c>
      <c r="C313" s="206">
        <v>0.04</v>
      </c>
      <c r="D313" s="202">
        <f>D299*C313</f>
        <v>682240</v>
      </c>
      <c r="E313" s="207"/>
      <c r="F313" s="203"/>
      <c r="H313" s="181"/>
      <c r="I313" s="181"/>
      <c r="J313" s="179"/>
      <c r="K313" s="179"/>
    </row>
    <row r="314" spans="1:11" ht="18.75" x14ac:dyDescent="0.2">
      <c r="A314" s="198">
        <v>21</v>
      </c>
      <c r="B314" s="201" t="s">
        <v>273</v>
      </c>
      <c r="C314" s="206">
        <v>0.02</v>
      </c>
      <c r="D314" s="202">
        <f>D299*C314</f>
        <v>341120</v>
      </c>
      <c r="E314" s="207"/>
      <c r="F314" s="203"/>
      <c r="H314" s="181"/>
      <c r="I314" s="181"/>
      <c r="J314" s="179"/>
      <c r="K314" s="179"/>
    </row>
    <row r="315" spans="1:11" ht="18.75" x14ac:dyDescent="0.2">
      <c r="A315" s="198">
        <v>22</v>
      </c>
      <c r="B315" s="201" t="s">
        <v>262</v>
      </c>
      <c r="C315" s="206">
        <v>0.02</v>
      </c>
      <c r="D315" s="202">
        <f>D299*C315</f>
        <v>341120</v>
      </c>
      <c r="E315" s="207"/>
      <c r="F315" s="203"/>
      <c r="H315" s="181"/>
      <c r="I315" s="181"/>
      <c r="J315" s="179"/>
      <c r="K315" s="179"/>
    </row>
    <row r="316" spans="1:11" ht="37.5" x14ac:dyDescent="0.2">
      <c r="A316" s="198">
        <v>23</v>
      </c>
      <c r="B316" s="201" t="s">
        <v>482</v>
      </c>
      <c r="C316" s="206">
        <v>0.02</v>
      </c>
      <c r="D316" s="202">
        <f>D299*C316</f>
        <v>341120</v>
      </c>
      <c r="E316" s="207"/>
      <c r="F316" s="203"/>
      <c r="H316" s="181"/>
      <c r="I316" s="181"/>
      <c r="J316" s="179"/>
      <c r="K316" s="179"/>
    </row>
    <row r="317" spans="1:11" ht="18.75" x14ac:dyDescent="0.2">
      <c r="A317" s="198">
        <v>19</v>
      </c>
      <c r="B317" s="201" t="s">
        <v>205</v>
      </c>
      <c r="C317" s="206">
        <v>0.05</v>
      </c>
      <c r="D317" s="202">
        <f>D299*C317</f>
        <v>852800</v>
      </c>
      <c r="E317" s="202"/>
      <c r="F317" s="203"/>
    </row>
    <row r="318" spans="1:11" ht="56.25" x14ac:dyDescent="0.2">
      <c r="A318" s="198">
        <v>20</v>
      </c>
      <c r="B318" s="201" t="s">
        <v>100</v>
      </c>
      <c r="C318" s="206">
        <v>3.5000000000000003E-2</v>
      </c>
      <c r="D318" s="202">
        <f>D299*C318</f>
        <v>596960</v>
      </c>
      <c r="E318" s="207"/>
      <c r="F318" s="203"/>
    </row>
    <row r="319" spans="1:11" ht="18.75" x14ac:dyDescent="0.2">
      <c r="A319" s="198">
        <v>21</v>
      </c>
      <c r="B319" s="208" t="s">
        <v>132</v>
      </c>
      <c r="C319" s="209">
        <f>100%-(SUM(C300:C318))</f>
        <v>4.9999999999999711E-2</v>
      </c>
      <c r="D319" s="202">
        <f>D299*C319</f>
        <v>852799.99999999511</v>
      </c>
      <c r="E319" s="211"/>
      <c r="F319" s="212"/>
    </row>
    <row r="320" spans="1:11" ht="18.75" x14ac:dyDescent="0.2">
      <c r="A320" s="198"/>
      <c r="B320" s="311" t="s">
        <v>22</v>
      </c>
      <c r="C320" s="334"/>
      <c r="D320" s="214">
        <f>SUM(D300:D319)+D296+D297+D298</f>
        <v>34416000</v>
      </c>
      <c r="E320" s="214"/>
      <c r="F320" s="203"/>
    </row>
    <row r="321" spans="1:11" ht="18.75" x14ac:dyDescent="0.2">
      <c r="A321" s="330"/>
      <c r="B321" s="331" t="s">
        <v>23</v>
      </c>
      <c r="C321" s="332"/>
      <c r="D321" s="214">
        <f>D295-D320</f>
        <v>25584000</v>
      </c>
      <c r="E321" s="333"/>
      <c r="F321" s="203"/>
    </row>
    <row r="322" spans="1:11" x14ac:dyDescent="0.2">
      <c r="A322" s="216"/>
      <c r="B322" s="216"/>
      <c r="C322" s="216"/>
      <c r="D322" s="216"/>
      <c r="E322" s="217"/>
      <c r="F322" s="216"/>
    </row>
    <row r="323" spans="1:11" ht="36" x14ac:dyDescent="0.2">
      <c r="A323" s="218"/>
      <c r="B323" s="219" t="s">
        <v>403</v>
      </c>
      <c r="C323" s="313"/>
      <c r="D323" s="218"/>
      <c r="E323" s="221"/>
      <c r="F323" s="218"/>
    </row>
    <row r="324" spans="1:11" x14ac:dyDescent="0.2">
      <c r="A324" s="218"/>
      <c r="B324" s="219" t="s">
        <v>404</v>
      </c>
      <c r="C324" s="1122"/>
      <c r="D324" s="1115"/>
      <c r="E324" s="1115"/>
      <c r="F324" s="1116"/>
    </row>
    <row r="325" spans="1:11" ht="36" x14ac:dyDescent="0.2">
      <c r="A325" s="218"/>
      <c r="B325" s="219" t="s">
        <v>406</v>
      </c>
      <c r="C325" s="1114"/>
      <c r="D325" s="1115"/>
      <c r="E325" s="1115"/>
      <c r="F325" s="1116"/>
    </row>
    <row r="326" spans="1:11" ht="36" x14ac:dyDescent="0.2">
      <c r="A326" s="218"/>
      <c r="B326" s="219" t="s">
        <v>408</v>
      </c>
      <c r="C326" s="1114"/>
      <c r="D326" s="1115"/>
      <c r="E326" s="1115"/>
      <c r="F326" s="1116"/>
    </row>
    <row r="327" spans="1:11" x14ac:dyDescent="0.2">
      <c r="A327" s="218"/>
      <c r="B327" s="218" t="s">
        <v>302</v>
      </c>
      <c r="C327" s="817"/>
      <c r="D327" s="818"/>
      <c r="E327" s="818"/>
      <c r="F327" s="819"/>
    </row>
    <row r="328" spans="1:11" x14ac:dyDescent="0.2">
      <c r="A328" s="218"/>
      <c r="B328" s="218" t="s">
        <v>303</v>
      </c>
      <c r="C328" s="817"/>
      <c r="D328" s="818"/>
      <c r="E328" s="818"/>
      <c r="F328" s="819"/>
    </row>
    <row r="329" spans="1:11" x14ac:dyDescent="0.2">
      <c r="A329" s="335"/>
      <c r="B329" s="335"/>
      <c r="C329" s="335"/>
      <c r="D329" s="335"/>
      <c r="E329" s="336"/>
      <c r="F329" s="335"/>
    </row>
    <row r="330" spans="1:11" x14ac:dyDescent="0.2">
      <c r="A330" s="168" t="s">
        <v>247</v>
      </c>
      <c r="B330" s="168" t="s">
        <v>247</v>
      </c>
      <c r="C330" s="168" t="s">
        <v>247</v>
      </c>
      <c r="D330" s="168" t="s">
        <v>247</v>
      </c>
      <c r="E330" s="169" t="s">
        <v>247</v>
      </c>
      <c r="F330" s="168" t="s">
        <v>247</v>
      </c>
      <c r="G330" s="170"/>
      <c r="H330" s="171"/>
      <c r="I330" s="171"/>
      <c r="J330" s="170"/>
      <c r="K330" s="170"/>
    </row>
    <row r="331" spans="1:11" ht="19.5" customHeight="1" x14ac:dyDescent="0.2">
      <c r="A331" s="813" t="s">
        <v>399</v>
      </c>
      <c r="B331" s="814"/>
      <c r="C331" s="814"/>
      <c r="D331" s="814"/>
      <c r="E331" s="815"/>
      <c r="F331" s="816"/>
      <c r="H331" s="182"/>
      <c r="I331" s="182"/>
      <c r="J331" s="183"/>
      <c r="K331" s="183"/>
    </row>
    <row r="332" spans="1:11" ht="20.25" x14ac:dyDescent="0.2">
      <c r="A332" s="1118" t="s">
        <v>248</v>
      </c>
      <c r="B332" s="1119"/>
      <c r="C332" s="1119"/>
      <c r="D332" s="1119"/>
      <c r="E332" s="1120"/>
      <c r="F332" s="1121"/>
      <c r="H332" s="289" t="s">
        <v>348</v>
      </c>
      <c r="I332" s="289"/>
      <c r="J332" s="251" t="s">
        <v>349</v>
      </c>
      <c r="K332" s="290" t="s">
        <v>350</v>
      </c>
    </row>
    <row r="333" spans="1:11" ht="19.5" x14ac:dyDescent="0.2">
      <c r="A333" s="198">
        <v>1</v>
      </c>
      <c r="B333" s="199" t="s">
        <v>7</v>
      </c>
      <c r="C333" s="200"/>
      <c r="D333" s="1087">
        <v>6183333</v>
      </c>
      <c r="E333" s="1088"/>
      <c r="F333" s="1089"/>
      <c r="H333" s="292">
        <v>0.1</v>
      </c>
      <c r="I333" s="292"/>
      <c r="J333" s="293">
        <f>D333-D333*H333</f>
        <v>5564999.7000000002</v>
      </c>
      <c r="K333" s="294">
        <f>J333-D357</f>
        <v>2941666.5000000005</v>
      </c>
    </row>
    <row r="334" spans="1:11" ht="112.5" x14ac:dyDescent="0.2">
      <c r="A334" s="198">
        <v>2</v>
      </c>
      <c r="B334" s="201" t="s">
        <v>483</v>
      </c>
      <c r="C334" s="200"/>
      <c r="D334" s="202"/>
      <c r="E334" s="202"/>
      <c r="F334" s="337" t="s">
        <v>484</v>
      </c>
      <c r="H334" s="292">
        <v>0.15</v>
      </c>
      <c r="I334" s="292"/>
      <c r="J334" s="293">
        <f>D333-D333*H334</f>
        <v>5255833.05</v>
      </c>
      <c r="K334" s="294">
        <f>J334-D357</f>
        <v>2632499.85</v>
      </c>
    </row>
    <row r="335" spans="1:11" ht="18.75" customHeight="1" x14ac:dyDescent="0.2">
      <c r="A335" s="198">
        <v>3</v>
      </c>
      <c r="B335" s="201" t="s">
        <v>249</v>
      </c>
      <c r="C335" s="200"/>
      <c r="D335" s="202">
        <v>300000</v>
      </c>
      <c r="E335" s="202"/>
      <c r="F335" s="203"/>
      <c r="H335" s="292">
        <v>0.2</v>
      </c>
      <c r="I335" s="292"/>
      <c r="J335" s="293">
        <f>D333-D333*H335</f>
        <v>4946666.4000000004</v>
      </c>
      <c r="K335" s="294">
        <f>J335-D357</f>
        <v>2323333.2000000007</v>
      </c>
    </row>
    <row r="336" spans="1:11" ht="37.5" x14ac:dyDescent="0.2">
      <c r="A336" s="338">
        <v>4</v>
      </c>
      <c r="B336" s="339" t="s">
        <v>485</v>
      </c>
      <c r="C336" s="340"/>
      <c r="D336" s="341">
        <v>300000</v>
      </c>
      <c r="E336" s="202"/>
      <c r="F336" s="203"/>
      <c r="H336" s="292"/>
      <c r="I336" s="292"/>
      <c r="J336" s="293"/>
      <c r="K336" s="294"/>
    </row>
    <row r="337" spans="1:11" ht="37.5" x14ac:dyDescent="0.2">
      <c r="A337" s="198">
        <v>5</v>
      </c>
      <c r="B337" s="201" t="s">
        <v>251</v>
      </c>
      <c r="C337" s="200"/>
      <c r="D337" s="202">
        <v>150000</v>
      </c>
      <c r="E337" s="202"/>
      <c r="F337" s="203"/>
      <c r="H337" s="295">
        <v>0.25</v>
      </c>
      <c r="I337" s="295"/>
      <c r="J337" s="296">
        <f>D333-D333*H337</f>
        <v>4637499.75</v>
      </c>
      <c r="K337" s="297">
        <f>J337-D357</f>
        <v>2014166.5500000003</v>
      </c>
    </row>
    <row r="338" spans="1:11" ht="18.75" x14ac:dyDescent="0.2">
      <c r="A338" s="198">
        <v>6</v>
      </c>
      <c r="B338" s="315" t="s">
        <v>252</v>
      </c>
      <c r="C338" s="316">
        <v>0.4</v>
      </c>
      <c r="D338" s="317">
        <f>(D333-(SUM(D334:D337)))*C338</f>
        <v>2173333.2000000002</v>
      </c>
      <c r="E338" s="318"/>
      <c r="F338" s="319"/>
      <c r="H338" s="181"/>
      <c r="I338" s="181"/>
      <c r="J338" s="179"/>
      <c r="K338" s="179"/>
    </row>
    <row r="339" spans="1:11" ht="37.5" x14ac:dyDescent="0.2">
      <c r="A339" s="198">
        <v>7</v>
      </c>
      <c r="B339" s="201" t="s">
        <v>253</v>
      </c>
      <c r="C339" s="206">
        <v>0.03</v>
      </c>
      <c r="D339" s="202">
        <f>D338*C339</f>
        <v>65199.996000000006</v>
      </c>
      <c r="E339" s="202"/>
      <c r="F339" s="203"/>
      <c r="H339" s="181"/>
      <c r="I339" s="181"/>
      <c r="J339" s="179"/>
      <c r="K339" s="179"/>
    </row>
    <row r="340" spans="1:11" ht="18.75" x14ac:dyDescent="0.2">
      <c r="A340" s="198">
        <v>8</v>
      </c>
      <c r="B340" s="201" t="s">
        <v>11</v>
      </c>
      <c r="C340" s="206">
        <v>0.02</v>
      </c>
      <c r="D340" s="202">
        <f>D338*C340</f>
        <v>43466.664000000004</v>
      </c>
      <c r="E340" s="207"/>
      <c r="F340" s="203"/>
      <c r="H340" s="181"/>
      <c r="I340" s="181"/>
      <c r="J340" s="179"/>
      <c r="K340" s="179"/>
    </row>
    <row r="341" spans="1:11" ht="18.75" x14ac:dyDescent="0.2">
      <c r="A341" s="198">
        <v>9</v>
      </c>
      <c r="B341" s="201" t="s">
        <v>26</v>
      </c>
      <c r="C341" s="206">
        <v>0.05</v>
      </c>
      <c r="D341" s="202">
        <f>D338*C341</f>
        <v>108666.66000000002</v>
      </c>
      <c r="E341" s="207"/>
      <c r="F341" s="203"/>
      <c r="H341" s="181"/>
      <c r="I341" s="181"/>
      <c r="J341" s="179"/>
      <c r="K341" s="179"/>
    </row>
    <row r="342" spans="1:11" ht="18.75" x14ac:dyDescent="0.2">
      <c r="A342" s="198">
        <v>10</v>
      </c>
      <c r="B342" s="201" t="s">
        <v>402</v>
      </c>
      <c r="C342" s="206">
        <v>2.5000000000000001E-2</v>
      </c>
      <c r="D342" s="202">
        <f>D338*C342</f>
        <v>54333.330000000009</v>
      </c>
      <c r="E342" s="207"/>
      <c r="F342" s="203"/>
      <c r="H342" s="181"/>
      <c r="I342" s="181"/>
      <c r="J342" s="179"/>
      <c r="K342" s="179"/>
    </row>
    <row r="343" spans="1:11" ht="18.75" x14ac:dyDescent="0.2">
      <c r="A343" s="198">
        <v>11</v>
      </c>
      <c r="B343" s="201" t="s">
        <v>234</v>
      </c>
      <c r="C343" s="206">
        <v>7.0000000000000007E-2</v>
      </c>
      <c r="D343" s="202">
        <f>D338*C343</f>
        <v>152133.32400000002</v>
      </c>
      <c r="E343" s="207"/>
      <c r="F343" s="203"/>
      <c r="H343" s="182"/>
      <c r="I343" s="182"/>
      <c r="J343" s="183"/>
      <c r="K343" s="183"/>
    </row>
    <row r="344" spans="1:11" ht="18.75" x14ac:dyDescent="0.2">
      <c r="A344" s="198">
        <v>12</v>
      </c>
      <c r="B344" s="201" t="s">
        <v>255</v>
      </c>
      <c r="C344" s="206">
        <v>0.08</v>
      </c>
      <c r="D344" s="202">
        <f>D338*C344</f>
        <v>173866.65600000002</v>
      </c>
      <c r="E344" s="207"/>
      <c r="F344" s="203"/>
      <c r="H344" s="181"/>
      <c r="I344" s="181"/>
      <c r="J344" s="179"/>
      <c r="K344" s="179"/>
    </row>
    <row r="345" spans="1:11" ht="18.75" x14ac:dyDescent="0.2">
      <c r="A345" s="198">
        <v>13</v>
      </c>
      <c r="B345" s="201" t="s">
        <v>256</v>
      </c>
      <c r="C345" s="206">
        <v>0.1</v>
      </c>
      <c r="D345" s="202">
        <f>D338*C345</f>
        <v>217333.32000000004</v>
      </c>
      <c r="E345" s="207"/>
      <c r="F345" s="203"/>
      <c r="H345" s="181"/>
      <c r="I345" s="181"/>
      <c r="J345" s="179"/>
      <c r="K345" s="179"/>
    </row>
    <row r="346" spans="1:11" ht="18.75" x14ac:dyDescent="0.2">
      <c r="A346" s="198">
        <v>14</v>
      </c>
      <c r="B346" s="201" t="s">
        <v>168</v>
      </c>
      <c r="C346" s="206">
        <v>7.0000000000000007E-2</v>
      </c>
      <c r="D346" s="202">
        <f>D338*C346</f>
        <v>152133.32400000002</v>
      </c>
      <c r="E346" s="207"/>
      <c r="F346" s="203"/>
      <c r="H346" s="181"/>
      <c r="I346" s="181"/>
      <c r="J346" s="179"/>
      <c r="K346" s="179"/>
    </row>
    <row r="347" spans="1:11" ht="18.75" x14ac:dyDescent="0.2">
      <c r="A347" s="198">
        <v>15</v>
      </c>
      <c r="B347" s="201" t="s">
        <v>257</v>
      </c>
      <c r="C347" s="206">
        <v>0.08</v>
      </c>
      <c r="D347" s="202">
        <f>D338*C347</f>
        <v>173866.65600000002</v>
      </c>
      <c r="E347" s="207"/>
      <c r="F347" s="203"/>
      <c r="H347" s="181"/>
      <c r="I347" s="181"/>
      <c r="J347" s="179"/>
      <c r="K347" s="179"/>
    </row>
    <row r="348" spans="1:11" ht="18.75" x14ac:dyDescent="0.2">
      <c r="A348" s="198">
        <v>16</v>
      </c>
      <c r="B348" s="201" t="s">
        <v>258</v>
      </c>
      <c r="C348" s="206">
        <v>0.1</v>
      </c>
      <c r="D348" s="202">
        <f>D338*C348</f>
        <v>217333.32000000004</v>
      </c>
      <c r="E348" s="207"/>
      <c r="F348" s="203"/>
      <c r="H348" s="181"/>
      <c r="I348" s="181"/>
      <c r="J348" s="179"/>
      <c r="K348" s="179"/>
    </row>
    <row r="349" spans="1:11" ht="18.75" x14ac:dyDescent="0.2">
      <c r="A349" s="198">
        <v>17</v>
      </c>
      <c r="B349" s="201" t="s">
        <v>40</v>
      </c>
      <c r="C349" s="206">
        <v>7.0000000000000007E-2</v>
      </c>
      <c r="D349" s="202">
        <f>D338*C349</f>
        <v>152133.32400000002</v>
      </c>
      <c r="E349" s="207"/>
      <c r="F349" s="203"/>
      <c r="H349" s="181"/>
      <c r="I349" s="181"/>
      <c r="J349" s="179"/>
      <c r="K349" s="179"/>
    </row>
    <row r="350" spans="1:11" ht="18.75" x14ac:dyDescent="0.2">
      <c r="A350" s="198">
        <v>18</v>
      </c>
      <c r="B350" s="201" t="s">
        <v>259</v>
      </c>
      <c r="C350" s="206">
        <v>0.06</v>
      </c>
      <c r="D350" s="202">
        <f>D338*C350</f>
        <v>130399.99200000001</v>
      </c>
      <c r="E350" s="207"/>
      <c r="F350" s="203"/>
      <c r="H350" s="181"/>
      <c r="I350" s="181"/>
      <c r="J350" s="179"/>
      <c r="K350" s="179"/>
    </row>
    <row r="351" spans="1:11" ht="18.75" x14ac:dyDescent="0.2">
      <c r="A351" s="198">
        <v>19</v>
      </c>
      <c r="B351" s="201" t="s">
        <v>260</v>
      </c>
      <c r="C351" s="206">
        <v>0.03</v>
      </c>
      <c r="D351" s="202">
        <f>D338*C351</f>
        <v>65199.996000000006</v>
      </c>
      <c r="E351" s="207"/>
      <c r="F351" s="203"/>
      <c r="H351" s="181"/>
      <c r="I351" s="181"/>
      <c r="J351" s="179"/>
      <c r="K351" s="179"/>
    </row>
    <row r="352" spans="1:11" ht="18.75" x14ac:dyDescent="0.2">
      <c r="A352" s="198">
        <v>20</v>
      </c>
      <c r="B352" s="201" t="s">
        <v>261</v>
      </c>
      <c r="C352" s="206">
        <v>0.04</v>
      </c>
      <c r="D352" s="202">
        <f>D338*C352</f>
        <v>86933.328000000009</v>
      </c>
      <c r="E352" s="207"/>
      <c r="F352" s="203"/>
      <c r="H352" s="181"/>
      <c r="I352" s="181"/>
      <c r="J352" s="179"/>
      <c r="K352" s="179"/>
    </row>
    <row r="353" spans="1:11" ht="18.75" x14ac:dyDescent="0.2">
      <c r="A353" s="198">
        <v>21</v>
      </c>
      <c r="B353" s="201" t="s">
        <v>262</v>
      </c>
      <c r="C353" s="206">
        <v>0.02</v>
      </c>
      <c r="D353" s="202">
        <f>D338*C353</f>
        <v>43466.664000000004</v>
      </c>
      <c r="E353" s="207"/>
      <c r="F353" s="203"/>
      <c r="H353" s="181"/>
      <c r="I353" s="181"/>
      <c r="J353" s="179"/>
      <c r="K353" s="179"/>
    </row>
    <row r="354" spans="1:11" ht="18.75" x14ac:dyDescent="0.2">
      <c r="A354" s="198">
        <v>22</v>
      </c>
      <c r="B354" s="201" t="s">
        <v>205</v>
      </c>
      <c r="C354" s="206">
        <v>0.05</v>
      </c>
      <c r="D354" s="202">
        <f>D338*C354</f>
        <v>108666.66000000002</v>
      </c>
      <c r="E354" s="202"/>
      <c r="F354" s="203"/>
    </row>
    <row r="355" spans="1:11" ht="56.25" x14ac:dyDescent="0.2">
      <c r="A355" s="198">
        <v>23</v>
      </c>
      <c r="B355" s="201" t="s">
        <v>100</v>
      </c>
      <c r="C355" s="206">
        <v>3.5000000000000003E-2</v>
      </c>
      <c r="D355" s="202">
        <f>D338*C355</f>
        <v>76066.662000000011</v>
      </c>
      <c r="E355" s="207"/>
      <c r="F355" s="203"/>
    </row>
    <row r="356" spans="1:11" ht="18.75" x14ac:dyDescent="0.2">
      <c r="A356" s="198">
        <v>24</v>
      </c>
      <c r="B356" s="208" t="s">
        <v>132</v>
      </c>
      <c r="C356" s="209">
        <f>100%-(SUM(C339:C355))</f>
        <v>6.9999999999999729E-2</v>
      </c>
      <c r="D356" s="202">
        <f>D338*C356</f>
        <v>152133.32399999941</v>
      </c>
      <c r="E356" s="211"/>
      <c r="F356" s="212"/>
    </row>
    <row r="357" spans="1:11" ht="18.75" x14ac:dyDescent="0.2">
      <c r="A357" s="198"/>
      <c r="B357" s="311" t="s">
        <v>22</v>
      </c>
      <c r="C357" s="334"/>
      <c r="D357" s="214">
        <f>SUM(D339:D356)+D334+D335+D337</f>
        <v>2623333.1999999997</v>
      </c>
      <c r="E357" s="214"/>
      <c r="F357" s="203"/>
    </row>
    <row r="358" spans="1:11" ht="18.75" x14ac:dyDescent="0.2">
      <c r="A358" s="330"/>
      <c r="B358" s="331" t="s">
        <v>23</v>
      </c>
      <c r="C358" s="332"/>
      <c r="D358" s="214">
        <f>D333-D357</f>
        <v>3559999.8000000003</v>
      </c>
      <c r="E358" s="333"/>
      <c r="F358" s="203"/>
    </row>
    <row r="359" spans="1:11" x14ac:dyDescent="0.2">
      <c r="A359" s="216"/>
      <c r="B359" s="216"/>
      <c r="C359" s="216"/>
      <c r="D359" s="216"/>
      <c r="E359" s="217"/>
      <c r="F359" s="216"/>
    </row>
    <row r="360" spans="1:11" ht="36" x14ac:dyDescent="0.2">
      <c r="A360" s="218"/>
      <c r="B360" s="219" t="s">
        <v>403</v>
      </c>
      <c r="C360" s="313">
        <v>45512</v>
      </c>
      <c r="D360" s="218"/>
      <c r="E360" s="221"/>
      <c r="F360" s="218"/>
    </row>
    <row r="361" spans="1:11" ht="81.75" customHeight="1" x14ac:dyDescent="0.2">
      <c r="A361" s="218"/>
      <c r="B361" s="219" t="s">
        <v>404</v>
      </c>
      <c r="C361" s="817" t="s">
        <v>486</v>
      </c>
      <c r="D361" s="818"/>
      <c r="E361" s="818"/>
      <c r="F361" s="819"/>
    </row>
    <row r="362" spans="1:11" ht="36" x14ac:dyDescent="0.2">
      <c r="A362" s="218"/>
      <c r="B362" s="219" t="s">
        <v>406</v>
      </c>
      <c r="C362" s="1114">
        <v>61833.33</v>
      </c>
      <c r="D362" s="1115"/>
      <c r="E362" s="1115"/>
      <c r="F362" s="1116"/>
    </row>
    <row r="363" spans="1:11" ht="36" x14ac:dyDescent="0.2">
      <c r="A363" s="218"/>
      <c r="B363" s="219" t="s">
        <v>408</v>
      </c>
      <c r="C363" s="1114">
        <v>618333.30000000005</v>
      </c>
      <c r="D363" s="1115"/>
      <c r="E363" s="1115"/>
      <c r="F363" s="1116"/>
    </row>
    <row r="364" spans="1:11" ht="90" customHeight="1" x14ac:dyDescent="0.2">
      <c r="A364" s="218"/>
      <c r="B364" s="218" t="s">
        <v>302</v>
      </c>
      <c r="C364" s="817" t="s">
        <v>487</v>
      </c>
      <c r="D364" s="818"/>
      <c r="E364" s="818"/>
      <c r="F364" s="819"/>
    </row>
    <row r="365" spans="1:11" x14ac:dyDescent="0.2">
      <c r="A365" s="218"/>
      <c r="B365" s="218" t="s">
        <v>303</v>
      </c>
      <c r="C365" s="817"/>
      <c r="D365" s="818"/>
      <c r="E365" s="818"/>
      <c r="F365" s="819"/>
    </row>
    <row r="366" spans="1:11" x14ac:dyDescent="0.2">
      <c r="A366" s="168" t="s">
        <v>247</v>
      </c>
      <c r="B366" s="168" t="s">
        <v>247</v>
      </c>
      <c r="C366" s="168" t="s">
        <v>247</v>
      </c>
      <c r="D366" s="168" t="s">
        <v>247</v>
      </c>
      <c r="E366" s="169" t="s">
        <v>247</v>
      </c>
      <c r="F366" s="168" t="s">
        <v>247</v>
      </c>
      <c r="G366" s="170"/>
      <c r="H366" s="171"/>
      <c r="I366" s="171"/>
      <c r="J366" s="170"/>
      <c r="K366" s="170"/>
    </row>
    <row r="367" spans="1:11" ht="18.75" x14ac:dyDescent="0.2">
      <c r="A367" s="1110" t="s">
        <v>474</v>
      </c>
      <c r="B367" s="1110"/>
      <c r="C367" s="1110"/>
      <c r="D367" s="1110"/>
      <c r="E367" s="1110"/>
      <c r="F367" s="1110"/>
      <c r="H367" s="342"/>
      <c r="I367" s="342"/>
      <c r="J367" s="343"/>
      <c r="K367" s="343"/>
    </row>
    <row r="368" spans="1:11" ht="42" customHeight="1" x14ac:dyDescent="0.2">
      <c r="A368" s="802" t="s">
        <v>488</v>
      </c>
      <c r="B368" s="802"/>
      <c r="C368" s="802"/>
      <c r="D368" s="802"/>
      <c r="E368" s="802"/>
      <c r="F368" s="802"/>
      <c r="G368" s="344"/>
      <c r="H368" s="250" t="s">
        <v>348</v>
      </c>
      <c r="I368" s="250"/>
      <c r="J368" s="251" t="s">
        <v>349</v>
      </c>
      <c r="K368" s="251" t="s">
        <v>350</v>
      </c>
    </row>
    <row r="369" spans="1:11" ht="19.5" x14ac:dyDescent="0.2">
      <c r="A369" s="345">
        <v>1</v>
      </c>
      <c r="B369" s="346" t="s">
        <v>7</v>
      </c>
      <c r="C369" s="347"/>
      <c r="D369" s="1099">
        <v>11486897</v>
      </c>
      <c r="E369" s="1099"/>
      <c r="F369" s="1099"/>
      <c r="G369" s="344"/>
      <c r="H369" s="348">
        <v>0.15</v>
      </c>
      <c r="I369" s="348"/>
      <c r="J369" s="349">
        <f>D369-D369*H369</f>
        <v>9763862.4499999993</v>
      </c>
      <c r="K369" s="349">
        <f>J369-D395</f>
        <v>4339103.6500000004</v>
      </c>
    </row>
    <row r="370" spans="1:11" ht="37.5" x14ac:dyDescent="0.2">
      <c r="A370" s="345">
        <v>2</v>
      </c>
      <c r="B370" s="350" t="s">
        <v>489</v>
      </c>
      <c r="C370" s="347"/>
      <c r="D370" s="351">
        <v>300000</v>
      </c>
      <c r="E370" s="351"/>
      <c r="F370" s="352"/>
      <c r="G370" s="344"/>
      <c r="H370" s="353">
        <v>0.18</v>
      </c>
      <c r="I370" s="353"/>
      <c r="J370" s="293">
        <f>D369-D369*H370</f>
        <v>9419255.5399999991</v>
      </c>
      <c r="K370" s="293">
        <f>J370-D395</f>
        <v>3994496.74</v>
      </c>
    </row>
    <row r="371" spans="1:11" ht="18.75" x14ac:dyDescent="0.2">
      <c r="A371" s="345">
        <v>3</v>
      </c>
      <c r="B371" s="350" t="s">
        <v>490</v>
      </c>
      <c r="C371" s="347"/>
      <c r="D371" s="351">
        <v>800000</v>
      </c>
      <c r="E371" s="351"/>
      <c r="F371" s="281"/>
      <c r="G371" s="344"/>
      <c r="H371" s="353">
        <v>0.2</v>
      </c>
      <c r="I371" s="353"/>
      <c r="J371" s="293">
        <f>D369-D369*H371</f>
        <v>9189517.5999999996</v>
      </c>
      <c r="K371" s="293">
        <f>J371-D395</f>
        <v>3764758.8000000007</v>
      </c>
    </row>
    <row r="372" spans="1:11" ht="37.5" x14ac:dyDescent="0.2">
      <c r="A372" s="354"/>
      <c r="B372" s="355" t="s">
        <v>491</v>
      </c>
      <c r="C372" s="356"/>
      <c r="D372" s="357">
        <v>250000</v>
      </c>
      <c r="E372" s="357"/>
      <c r="F372" s="281"/>
      <c r="G372" s="344"/>
      <c r="H372" s="353"/>
      <c r="I372" s="353"/>
      <c r="J372" s="293"/>
      <c r="K372" s="293"/>
    </row>
    <row r="373" spans="1:11" ht="18.75" x14ac:dyDescent="0.2">
      <c r="A373" s="345"/>
      <c r="B373" s="350" t="s">
        <v>492</v>
      </c>
      <c r="C373" s="347"/>
      <c r="D373" s="351">
        <v>450000</v>
      </c>
      <c r="E373" s="351"/>
      <c r="F373" s="281"/>
      <c r="G373" s="344"/>
      <c r="H373" s="358"/>
      <c r="I373" s="358"/>
      <c r="J373" s="296"/>
      <c r="K373" s="296"/>
    </row>
    <row r="374" spans="1:11" ht="37.5" x14ac:dyDescent="0.2">
      <c r="A374" s="345"/>
      <c r="B374" s="359" t="s">
        <v>493</v>
      </c>
      <c r="C374" s="360">
        <v>0.4</v>
      </c>
      <c r="D374" s="361">
        <f>(D369-(SUM(D370:D373)))*C374</f>
        <v>3874758.8000000003</v>
      </c>
      <c r="E374" s="362"/>
      <c r="F374" s="363"/>
      <c r="H374" s="181"/>
      <c r="I374" s="181"/>
      <c r="J374" s="179"/>
      <c r="K374" s="179"/>
    </row>
    <row r="375" spans="1:11" ht="37.5" x14ac:dyDescent="0.2">
      <c r="A375" s="345">
        <v>4</v>
      </c>
      <c r="B375" s="350" t="s">
        <v>253</v>
      </c>
      <c r="C375" s="364">
        <v>0.05</v>
      </c>
      <c r="D375" s="351">
        <f>D374*C375</f>
        <v>193737.94000000003</v>
      </c>
      <c r="E375" s="351"/>
      <c r="F375" s="281"/>
      <c r="H375" s="181"/>
      <c r="I375" s="181"/>
      <c r="J375" s="179"/>
      <c r="K375" s="179"/>
    </row>
    <row r="376" spans="1:11" ht="18.75" x14ac:dyDescent="0.2">
      <c r="A376" s="345">
        <v>5</v>
      </c>
      <c r="B376" s="350" t="s">
        <v>11</v>
      </c>
      <c r="C376" s="364">
        <v>0.02</v>
      </c>
      <c r="D376" s="351">
        <f>D374*C376</f>
        <v>77495.176000000007</v>
      </c>
      <c r="E376" s="365"/>
      <c r="F376" s="281"/>
      <c r="H376" s="181"/>
      <c r="I376" s="181"/>
      <c r="J376" s="179"/>
      <c r="K376" s="179"/>
    </row>
    <row r="377" spans="1:11" ht="18.75" x14ac:dyDescent="0.2">
      <c r="A377" s="345">
        <v>6</v>
      </c>
      <c r="B377" s="350" t="s">
        <v>26</v>
      </c>
      <c r="C377" s="364">
        <v>0.06</v>
      </c>
      <c r="D377" s="351">
        <f>D374*C377</f>
        <v>232485.52800000002</v>
      </c>
      <c r="E377" s="365"/>
      <c r="F377" s="281"/>
      <c r="H377" s="181"/>
      <c r="I377" s="181"/>
      <c r="J377" s="179"/>
      <c r="K377" s="179"/>
    </row>
    <row r="378" spans="1:11" ht="18.75" x14ac:dyDescent="0.2">
      <c r="A378" s="345">
        <v>7</v>
      </c>
      <c r="B378" s="350" t="s">
        <v>494</v>
      </c>
      <c r="C378" s="364">
        <v>0.1</v>
      </c>
      <c r="D378" s="351">
        <f>D374*C378</f>
        <v>387475.88000000006</v>
      </c>
      <c r="E378" s="365"/>
      <c r="F378" s="281"/>
      <c r="H378" s="181"/>
      <c r="I378" s="181"/>
      <c r="J378" s="179"/>
      <c r="K378" s="179"/>
    </row>
    <row r="379" spans="1:11" ht="18.75" x14ac:dyDescent="0.2">
      <c r="A379" s="345">
        <v>8</v>
      </c>
      <c r="B379" s="350" t="s">
        <v>234</v>
      </c>
      <c r="C379" s="364">
        <v>0.06</v>
      </c>
      <c r="D379" s="351">
        <f>D374*C379</f>
        <v>232485.52800000002</v>
      </c>
      <c r="E379" s="365"/>
      <c r="F379" s="281"/>
      <c r="H379" s="182"/>
      <c r="I379" s="182"/>
      <c r="J379" s="183"/>
      <c r="K379" s="183"/>
    </row>
    <row r="380" spans="1:11" ht="18.75" x14ac:dyDescent="0.2">
      <c r="A380" s="345">
        <v>9</v>
      </c>
      <c r="B380" s="350" t="s">
        <v>255</v>
      </c>
      <c r="C380" s="364">
        <v>0.06</v>
      </c>
      <c r="D380" s="351">
        <f>D374*C380</f>
        <v>232485.52800000002</v>
      </c>
      <c r="E380" s="365"/>
      <c r="F380" s="281"/>
      <c r="H380" s="181"/>
      <c r="I380" s="181"/>
      <c r="J380" s="179"/>
      <c r="K380" s="179"/>
    </row>
    <row r="381" spans="1:11" ht="18.75" x14ac:dyDescent="0.2">
      <c r="A381" s="345">
        <v>10</v>
      </c>
      <c r="B381" s="350" t="s">
        <v>256</v>
      </c>
      <c r="C381" s="364">
        <v>0.06</v>
      </c>
      <c r="D381" s="351">
        <f>D374*C381</f>
        <v>232485.52800000002</v>
      </c>
      <c r="E381" s="365"/>
      <c r="F381" s="281"/>
      <c r="H381" s="181"/>
      <c r="I381" s="181"/>
      <c r="J381" s="179"/>
      <c r="K381" s="179"/>
    </row>
    <row r="382" spans="1:11" ht="18.75" x14ac:dyDescent="0.2">
      <c r="A382" s="345">
        <v>11</v>
      </c>
      <c r="B382" s="350" t="s">
        <v>168</v>
      </c>
      <c r="C382" s="364">
        <v>5.5E-2</v>
      </c>
      <c r="D382" s="351">
        <f>D374*C382</f>
        <v>213111.73400000003</v>
      </c>
      <c r="E382" s="365"/>
      <c r="F382" s="281"/>
      <c r="H382" s="181"/>
      <c r="I382" s="181"/>
      <c r="J382" s="179"/>
      <c r="K382" s="179"/>
    </row>
    <row r="383" spans="1:11" ht="18.75" x14ac:dyDescent="0.2">
      <c r="A383" s="345">
        <v>12</v>
      </c>
      <c r="B383" s="350" t="s">
        <v>257</v>
      </c>
      <c r="C383" s="364">
        <v>5.5E-2</v>
      </c>
      <c r="D383" s="351">
        <f>D374*C383</f>
        <v>213111.73400000003</v>
      </c>
      <c r="E383" s="365"/>
      <c r="F383" s="281"/>
      <c r="H383" s="181"/>
      <c r="I383" s="181"/>
      <c r="J383" s="179"/>
      <c r="K383" s="179"/>
    </row>
    <row r="384" spans="1:11" ht="18.75" x14ac:dyDescent="0.2">
      <c r="A384" s="345">
        <v>13</v>
      </c>
      <c r="B384" s="350" t="s">
        <v>258</v>
      </c>
      <c r="C384" s="364">
        <v>7.0000000000000007E-2</v>
      </c>
      <c r="D384" s="351">
        <f>D374*C384</f>
        <v>271233.11600000004</v>
      </c>
      <c r="E384" s="365"/>
      <c r="F384" s="281"/>
      <c r="H384" s="181"/>
      <c r="I384" s="181"/>
      <c r="J384" s="179"/>
      <c r="K384" s="179"/>
    </row>
    <row r="385" spans="1:11" ht="18.75" x14ac:dyDescent="0.2">
      <c r="A385" s="345">
        <v>14</v>
      </c>
      <c r="B385" s="350" t="s">
        <v>40</v>
      </c>
      <c r="C385" s="364">
        <v>0.06</v>
      </c>
      <c r="D385" s="351">
        <f>D374*C385</f>
        <v>232485.52800000002</v>
      </c>
      <c r="E385" s="365"/>
      <c r="F385" s="281"/>
      <c r="H385" s="181"/>
      <c r="I385" s="181"/>
      <c r="J385" s="179"/>
      <c r="K385" s="179"/>
    </row>
    <row r="386" spans="1:11" ht="18.75" x14ac:dyDescent="0.2">
      <c r="A386" s="345">
        <v>15</v>
      </c>
      <c r="B386" s="355" t="s">
        <v>495</v>
      </c>
      <c r="C386" s="364">
        <v>0.03</v>
      </c>
      <c r="D386" s="351">
        <f>D374*C386</f>
        <v>116242.76400000001</v>
      </c>
      <c r="E386" s="365"/>
      <c r="F386" s="281"/>
      <c r="H386" s="181"/>
      <c r="I386" s="181"/>
      <c r="J386" s="179"/>
      <c r="K386" s="179"/>
    </row>
    <row r="387" spans="1:11" ht="18.75" x14ac:dyDescent="0.2">
      <c r="A387" s="345">
        <v>16</v>
      </c>
      <c r="B387" s="350" t="s">
        <v>272</v>
      </c>
      <c r="C387" s="364">
        <v>0.03</v>
      </c>
      <c r="D387" s="351">
        <f>D374*C387</f>
        <v>116242.76400000001</v>
      </c>
      <c r="E387" s="365"/>
      <c r="F387" s="281"/>
      <c r="H387" s="181"/>
      <c r="I387" s="181"/>
      <c r="J387" s="179"/>
      <c r="K387" s="179"/>
    </row>
    <row r="388" spans="1:11" ht="18.75" x14ac:dyDescent="0.2">
      <c r="A388" s="345">
        <v>17</v>
      </c>
      <c r="B388" s="350" t="s">
        <v>260</v>
      </c>
      <c r="C388" s="364">
        <v>0.03</v>
      </c>
      <c r="D388" s="351">
        <f>D374*C388</f>
        <v>116242.76400000001</v>
      </c>
      <c r="E388" s="365"/>
      <c r="F388" s="281"/>
      <c r="H388" s="181"/>
      <c r="I388" s="181"/>
      <c r="J388" s="179"/>
      <c r="K388" s="179"/>
    </row>
    <row r="389" spans="1:11" ht="18.75" x14ac:dyDescent="0.2">
      <c r="A389" s="345">
        <v>18</v>
      </c>
      <c r="B389" s="350" t="s">
        <v>261</v>
      </c>
      <c r="C389" s="364">
        <v>0.03</v>
      </c>
      <c r="D389" s="351">
        <f>D374*C389</f>
        <v>116242.76400000001</v>
      </c>
      <c r="E389" s="365"/>
      <c r="F389" s="281"/>
      <c r="H389" s="181"/>
      <c r="I389" s="181"/>
      <c r="J389" s="179"/>
      <c r="K389" s="179"/>
    </row>
    <row r="390" spans="1:11" ht="18.75" x14ac:dyDescent="0.2">
      <c r="A390" s="345">
        <v>19</v>
      </c>
      <c r="B390" s="350" t="s">
        <v>273</v>
      </c>
      <c r="C390" s="364">
        <v>0.01</v>
      </c>
      <c r="D390" s="351">
        <f>D374*C390</f>
        <v>38747.588000000003</v>
      </c>
      <c r="E390" s="365"/>
      <c r="F390" s="281"/>
      <c r="H390" s="181"/>
      <c r="I390" s="181"/>
      <c r="J390" s="179"/>
      <c r="K390" s="179"/>
    </row>
    <row r="391" spans="1:11" ht="18.75" x14ac:dyDescent="0.2">
      <c r="A391" s="345">
        <v>20</v>
      </c>
      <c r="B391" s="350" t="s">
        <v>262</v>
      </c>
      <c r="C391" s="364">
        <v>0.01</v>
      </c>
      <c r="D391" s="351">
        <f>D374*C391</f>
        <v>38747.588000000003</v>
      </c>
      <c r="E391" s="365"/>
      <c r="F391" s="281"/>
      <c r="H391" s="181"/>
      <c r="I391" s="181"/>
      <c r="J391" s="179"/>
      <c r="K391" s="179"/>
    </row>
    <row r="392" spans="1:11" ht="18.75" x14ac:dyDescent="0.2">
      <c r="A392" s="345">
        <v>21</v>
      </c>
      <c r="B392" s="350" t="s">
        <v>205</v>
      </c>
      <c r="C392" s="364">
        <v>7.0000000000000007E-2</v>
      </c>
      <c r="D392" s="351">
        <f>D374*C392</f>
        <v>271233.11600000004</v>
      </c>
      <c r="E392" s="351"/>
      <c r="F392" s="281"/>
    </row>
    <row r="393" spans="1:11" ht="56.25" x14ac:dyDescent="0.2">
      <c r="A393" s="345">
        <v>22</v>
      </c>
      <c r="B393" s="350" t="s">
        <v>100</v>
      </c>
      <c r="C393" s="364">
        <v>0.1</v>
      </c>
      <c r="D393" s="351">
        <f>D374*C393</f>
        <v>387475.88000000006</v>
      </c>
      <c r="E393" s="365"/>
      <c r="F393" s="281"/>
    </row>
    <row r="394" spans="1:11" ht="18.75" x14ac:dyDescent="0.2">
      <c r="A394" s="345">
        <v>23</v>
      </c>
      <c r="B394" s="366" t="s">
        <v>132</v>
      </c>
      <c r="C394" s="364">
        <f>100%-(SUM(C375:C393))</f>
        <v>3.9999999999999702E-2</v>
      </c>
      <c r="D394" s="351">
        <f>D374*C394</f>
        <v>154990.35199999885</v>
      </c>
      <c r="E394" s="367"/>
      <c r="F394" s="368"/>
    </row>
    <row r="395" spans="1:11" ht="18.75" x14ac:dyDescent="0.2">
      <c r="A395" s="345"/>
      <c r="B395" s="369" t="s">
        <v>22</v>
      </c>
      <c r="C395" s="370"/>
      <c r="D395" s="371">
        <f>SUM(D375:D394)+D370+D371+D373</f>
        <v>5424758.7999999989</v>
      </c>
      <c r="E395" s="371"/>
      <c r="F395" s="281"/>
    </row>
    <row r="396" spans="1:11" ht="18.75" x14ac:dyDescent="0.2">
      <c r="A396" s="372"/>
      <c r="B396" s="373" t="s">
        <v>23</v>
      </c>
      <c r="C396" s="283"/>
      <c r="D396" s="371">
        <f>D369-D395</f>
        <v>6062138.2000000011</v>
      </c>
      <c r="E396" s="374"/>
      <c r="F396" s="281"/>
    </row>
    <row r="397" spans="1:11" x14ac:dyDescent="0.2">
      <c r="A397" s="375"/>
      <c r="B397" s="375"/>
      <c r="C397" s="376"/>
      <c r="D397" s="375"/>
      <c r="E397" s="377"/>
      <c r="F397" s="375"/>
    </row>
    <row r="398" spans="1:11" ht="37.5" x14ac:dyDescent="0.2">
      <c r="A398" s="218"/>
      <c r="B398" s="378" t="s">
        <v>403</v>
      </c>
      <c r="C398" s="379">
        <v>45545</v>
      </c>
      <c r="D398" s="380"/>
      <c r="E398" s="381"/>
      <c r="F398" s="382"/>
    </row>
    <row r="399" spans="1:11" ht="60" hidden="1" customHeight="1" x14ac:dyDescent="0.2">
      <c r="A399" s="218"/>
      <c r="B399" s="383" t="s">
        <v>404</v>
      </c>
      <c r="C399" s="1117"/>
      <c r="D399" s="1108"/>
      <c r="E399" s="1108"/>
      <c r="F399" s="1109"/>
    </row>
    <row r="400" spans="1:11" ht="37.5" x14ac:dyDescent="0.2">
      <c r="A400" s="218"/>
      <c r="B400" s="383" t="s">
        <v>406</v>
      </c>
      <c r="C400" s="1111">
        <v>63177.93</v>
      </c>
      <c r="D400" s="1112"/>
      <c r="E400" s="1112"/>
      <c r="F400" s="1113"/>
    </row>
    <row r="401" spans="1:11" ht="37.5" x14ac:dyDescent="0.2">
      <c r="A401" s="218"/>
      <c r="B401" s="383" t="s">
        <v>408</v>
      </c>
      <c r="C401" s="1111">
        <v>1148689.7</v>
      </c>
      <c r="D401" s="1112"/>
      <c r="E401" s="1112"/>
      <c r="F401" s="1113"/>
    </row>
    <row r="402" spans="1:11" ht="75.75" customHeight="1" x14ac:dyDescent="0.2">
      <c r="A402" s="218"/>
      <c r="B402" s="382" t="s">
        <v>302</v>
      </c>
      <c r="C402" s="1107" t="s">
        <v>496</v>
      </c>
      <c r="D402" s="1108"/>
      <c r="E402" s="1108"/>
      <c r="F402" s="1109"/>
    </row>
    <row r="403" spans="1:11" ht="48" customHeight="1" x14ac:dyDescent="0.2">
      <c r="A403" s="218"/>
      <c r="B403" s="382" t="s">
        <v>303</v>
      </c>
      <c r="C403" s="1107" t="s">
        <v>497</v>
      </c>
      <c r="D403" s="1108"/>
      <c r="E403" s="1108"/>
      <c r="F403" s="1109"/>
    </row>
    <row r="404" spans="1:11" x14ac:dyDescent="0.2">
      <c r="A404" s="168" t="s">
        <v>247</v>
      </c>
      <c r="B404" s="168" t="s">
        <v>247</v>
      </c>
      <c r="C404" s="168" t="s">
        <v>247</v>
      </c>
      <c r="D404" s="168" t="s">
        <v>247</v>
      </c>
      <c r="E404" s="169" t="s">
        <v>247</v>
      </c>
      <c r="F404" s="168" t="s">
        <v>247</v>
      </c>
      <c r="G404" s="170"/>
      <c r="H404" s="171"/>
      <c r="I404" s="171"/>
      <c r="J404" s="170"/>
      <c r="K404" s="170"/>
    </row>
    <row r="405" spans="1:11" ht="18.75" x14ac:dyDescent="0.2">
      <c r="A405" s="1110" t="s">
        <v>474</v>
      </c>
      <c r="B405" s="1110"/>
      <c r="C405" s="1110"/>
      <c r="D405" s="1110"/>
      <c r="E405" s="1110"/>
      <c r="F405" s="1110"/>
      <c r="H405" s="342"/>
      <c r="I405" s="342"/>
      <c r="J405" s="343"/>
      <c r="K405" s="343"/>
    </row>
    <row r="406" spans="1:11" ht="48.75" customHeight="1" x14ac:dyDescent="0.2">
      <c r="A406" s="802" t="s">
        <v>498</v>
      </c>
      <c r="B406" s="802"/>
      <c r="C406" s="802"/>
      <c r="D406" s="802"/>
      <c r="E406" s="802"/>
      <c r="F406" s="802"/>
      <c r="G406" s="344"/>
      <c r="H406" s="250" t="s">
        <v>348</v>
      </c>
      <c r="I406" s="250"/>
      <c r="J406" s="251" t="s">
        <v>349</v>
      </c>
      <c r="K406" s="251" t="s">
        <v>350</v>
      </c>
    </row>
    <row r="407" spans="1:11" ht="19.5" x14ac:dyDescent="0.2">
      <c r="A407" s="345">
        <v>1</v>
      </c>
      <c r="B407" s="346" t="s">
        <v>7</v>
      </c>
      <c r="C407" s="347"/>
      <c r="D407" s="1099">
        <v>13484060</v>
      </c>
      <c r="E407" s="1099"/>
      <c r="F407" s="1099"/>
      <c r="G407" s="344"/>
      <c r="H407" s="348">
        <v>0.15</v>
      </c>
      <c r="I407" s="348"/>
      <c r="J407" s="349">
        <f>D407-D407*H407</f>
        <v>11461451</v>
      </c>
      <c r="K407" s="349">
        <f>J407-D433</f>
        <v>5255827</v>
      </c>
    </row>
    <row r="408" spans="1:11" ht="37.5" x14ac:dyDescent="0.2">
      <c r="A408" s="345">
        <v>2</v>
      </c>
      <c r="B408" s="350" t="s">
        <v>489</v>
      </c>
      <c r="C408" s="347"/>
      <c r="D408" s="351">
        <v>300000</v>
      </c>
      <c r="E408" s="351"/>
      <c r="F408" s="352"/>
      <c r="G408" s="344"/>
      <c r="H408" s="353">
        <v>0.18</v>
      </c>
      <c r="I408" s="353"/>
      <c r="J408" s="293">
        <f>D407-D407*H408</f>
        <v>11056929.199999999</v>
      </c>
      <c r="K408" s="293">
        <f>J408-D433</f>
        <v>4851305.1999999993</v>
      </c>
    </row>
    <row r="409" spans="1:11" ht="18.75" x14ac:dyDescent="0.2">
      <c r="A409" s="345">
        <v>3</v>
      </c>
      <c r="B409" s="350" t="s">
        <v>490</v>
      </c>
      <c r="C409" s="347"/>
      <c r="D409" s="351">
        <v>800000</v>
      </c>
      <c r="E409" s="351"/>
      <c r="F409" s="281"/>
      <c r="G409" s="344"/>
      <c r="H409" s="353">
        <v>0.2</v>
      </c>
      <c r="I409" s="353"/>
      <c r="J409" s="293">
        <f>D407-D407*H409</f>
        <v>10787248</v>
      </c>
      <c r="K409" s="293">
        <f>J409-D433</f>
        <v>4581624</v>
      </c>
    </row>
    <row r="410" spans="1:11" ht="37.5" x14ac:dyDescent="0.2">
      <c r="A410" s="354"/>
      <c r="B410" s="355" t="s">
        <v>491</v>
      </c>
      <c r="C410" s="347"/>
      <c r="D410" s="357">
        <v>250000</v>
      </c>
      <c r="E410" s="357"/>
      <c r="F410" s="281"/>
      <c r="G410" s="344"/>
      <c r="H410" s="353"/>
      <c r="I410" s="353"/>
      <c r="J410" s="293"/>
      <c r="K410" s="293"/>
    </row>
    <row r="411" spans="1:11" ht="18.75" x14ac:dyDescent="0.2">
      <c r="A411" s="345"/>
      <c r="B411" s="350" t="s">
        <v>499</v>
      </c>
      <c r="C411" s="347"/>
      <c r="D411" s="351">
        <v>420000</v>
      </c>
      <c r="E411" s="351"/>
      <c r="F411" s="281"/>
      <c r="G411" s="344"/>
      <c r="H411" s="358"/>
      <c r="I411" s="358"/>
      <c r="J411" s="296"/>
      <c r="K411" s="296"/>
    </row>
    <row r="412" spans="1:11" ht="37.5" x14ac:dyDescent="0.2">
      <c r="A412" s="345"/>
      <c r="B412" s="359" t="s">
        <v>493</v>
      </c>
      <c r="C412" s="360">
        <v>0.4</v>
      </c>
      <c r="D412" s="361">
        <f>(D407-(SUM(D408:D411)))*C412</f>
        <v>4685624</v>
      </c>
      <c r="E412" s="362"/>
      <c r="F412" s="363"/>
      <c r="H412" s="181"/>
      <c r="I412" s="181"/>
      <c r="J412" s="179"/>
      <c r="K412" s="179"/>
    </row>
    <row r="413" spans="1:11" ht="37.5" x14ac:dyDescent="0.2">
      <c r="A413" s="345">
        <v>4</v>
      </c>
      <c r="B413" s="350" t="s">
        <v>253</v>
      </c>
      <c r="C413" s="364">
        <v>0.05</v>
      </c>
      <c r="D413" s="351">
        <f>D412*C413</f>
        <v>234281.2</v>
      </c>
      <c r="E413" s="351"/>
      <c r="F413" s="281"/>
      <c r="H413" s="181"/>
      <c r="I413" s="181"/>
      <c r="J413" s="179"/>
      <c r="K413" s="179"/>
    </row>
    <row r="414" spans="1:11" ht="18.75" x14ac:dyDescent="0.2">
      <c r="A414" s="345">
        <v>5</v>
      </c>
      <c r="B414" s="350" t="s">
        <v>11</v>
      </c>
      <c r="C414" s="364">
        <v>0.02</v>
      </c>
      <c r="D414" s="351">
        <f>D412*C414</f>
        <v>93712.48</v>
      </c>
      <c r="E414" s="365"/>
      <c r="F414" s="281"/>
      <c r="H414" s="181"/>
      <c r="I414" s="181"/>
      <c r="J414" s="179"/>
      <c r="K414" s="179"/>
    </row>
    <row r="415" spans="1:11" ht="18.75" x14ac:dyDescent="0.2">
      <c r="A415" s="345">
        <v>6</v>
      </c>
      <c r="B415" s="350" t="s">
        <v>26</v>
      </c>
      <c r="C415" s="364">
        <v>0.06</v>
      </c>
      <c r="D415" s="351">
        <f>D412*C415</f>
        <v>281137.44</v>
      </c>
      <c r="E415" s="365"/>
      <c r="F415" s="281"/>
      <c r="H415" s="181"/>
      <c r="I415" s="181"/>
      <c r="J415" s="179"/>
      <c r="K415" s="179"/>
    </row>
    <row r="416" spans="1:11" ht="18.75" x14ac:dyDescent="0.2">
      <c r="A416" s="345">
        <v>7</v>
      </c>
      <c r="B416" s="350" t="s">
        <v>494</v>
      </c>
      <c r="C416" s="364">
        <v>0.1</v>
      </c>
      <c r="D416" s="351">
        <f>D412*C416</f>
        <v>468562.4</v>
      </c>
      <c r="E416" s="365"/>
      <c r="F416" s="281"/>
      <c r="H416" s="181"/>
      <c r="I416" s="181"/>
      <c r="J416" s="179"/>
      <c r="K416" s="179"/>
    </row>
    <row r="417" spans="1:11" ht="18.75" x14ac:dyDescent="0.2">
      <c r="A417" s="345">
        <v>8</v>
      </c>
      <c r="B417" s="350" t="s">
        <v>234</v>
      </c>
      <c r="C417" s="364">
        <v>0.06</v>
      </c>
      <c r="D417" s="351">
        <f>D412*C417</f>
        <v>281137.44</v>
      </c>
      <c r="E417" s="365"/>
      <c r="F417" s="281"/>
      <c r="H417" s="182"/>
      <c r="I417" s="182"/>
      <c r="J417" s="183"/>
      <c r="K417" s="183"/>
    </row>
    <row r="418" spans="1:11" ht="18.75" x14ac:dyDescent="0.2">
      <c r="A418" s="345">
        <v>9</v>
      </c>
      <c r="B418" s="350" t="s">
        <v>255</v>
      </c>
      <c r="C418" s="364">
        <v>0.06</v>
      </c>
      <c r="D418" s="351">
        <f>D412*C418</f>
        <v>281137.44</v>
      </c>
      <c r="E418" s="365"/>
      <c r="F418" s="281"/>
      <c r="H418" s="181"/>
      <c r="I418" s="181"/>
      <c r="J418" s="179"/>
      <c r="K418" s="179"/>
    </row>
    <row r="419" spans="1:11" ht="18.75" x14ac:dyDescent="0.2">
      <c r="A419" s="345">
        <v>10</v>
      </c>
      <c r="B419" s="350" t="s">
        <v>256</v>
      </c>
      <c r="C419" s="364">
        <v>0.06</v>
      </c>
      <c r="D419" s="351">
        <f>D412*C419</f>
        <v>281137.44</v>
      </c>
      <c r="E419" s="365"/>
      <c r="F419" s="281"/>
      <c r="H419" s="181"/>
      <c r="I419" s="181"/>
      <c r="J419" s="179"/>
      <c r="K419" s="179"/>
    </row>
    <row r="420" spans="1:11" ht="18.75" x14ac:dyDescent="0.2">
      <c r="A420" s="345">
        <v>11</v>
      </c>
      <c r="B420" s="350" t="s">
        <v>168</v>
      </c>
      <c r="C420" s="364">
        <v>5.5E-2</v>
      </c>
      <c r="D420" s="351">
        <f>D412*C420</f>
        <v>257709.32</v>
      </c>
      <c r="E420" s="365"/>
      <c r="F420" s="281"/>
      <c r="H420" s="181"/>
      <c r="I420" s="181"/>
      <c r="J420" s="179"/>
      <c r="K420" s="179"/>
    </row>
    <row r="421" spans="1:11" ht="18.75" x14ac:dyDescent="0.2">
      <c r="A421" s="345">
        <v>12</v>
      </c>
      <c r="B421" s="350" t="s">
        <v>257</v>
      </c>
      <c r="C421" s="364">
        <v>5.5E-2</v>
      </c>
      <c r="D421" s="351">
        <f>D412*C421</f>
        <v>257709.32</v>
      </c>
      <c r="E421" s="365"/>
      <c r="F421" s="281"/>
      <c r="H421" s="181"/>
      <c r="I421" s="181"/>
      <c r="J421" s="179"/>
      <c r="K421" s="179"/>
    </row>
    <row r="422" spans="1:11" ht="18.75" x14ac:dyDescent="0.2">
      <c r="A422" s="345">
        <v>13</v>
      </c>
      <c r="B422" s="350" t="s">
        <v>258</v>
      </c>
      <c r="C422" s="364">
        <v>7.0000000000000007E-2</v>
      </c>
      <c r="D422" s="351">
        <f>D412*C422</f>
        <v>327993.68000000005</v>
      </c>
      <c r="E422" s="365"/>
      <c r="F422" s="281"/>
      <c r="H422" s="181"/>
      <c r="I422" s="181"/>
      <c r="J422" s="179"/>
      <c r="K422" s="179"/>
    </row>
    <row r="423" spans="1:11" ht="18.75" x14ac:dyDescent="0.2">
      <c r="A423" s="345">
        <v>14</v>
      </c>
      <c r="B423" s="350" t="s">
        <v>40</v>
      </c>
      <c r="C423" s="364">
        <v>0.06</v>
      </c>
      <c r="D423" s="351">
        <f>D412*C423</f>
        <v>281137.44</v>
      </c>
      <c r="E423" s="365"/>
      <c r="F423" s="281"/>
      <c r="H423" s="181"/>
      <c r="I423" s="181"/>
      <c r="J423" s="179"/>
      <c r="K423" s="179"/>
    </row>
    <row r="424" spans="1:11" ht="18.75" x14ac:dyDescent="0.2">
      <c r="A424" s="345">
        <v>15</v>
      </c>
      <c r="B424" s="355" t="s">
        <v>495</v>
      </c>
      <c r="C424" s="364">
        <v>0.03</v>
      </c>
      <c r="D424" s="351">
        <f>D412*C424</f>
        <v>140568.72</v>
      </c>
      <c r="E424" s="365"/>
      <c r="F424" s="281"/>
      <c r="H424" s="181"/>
      <c r="I424" s="181"/>
      <c r="J424" s="179"/>
      <c r="K424" s="179"/>
    </row>
    <row r="425" spans="1:11" ht="18.75" x14ac:dyDescent="0.2">
      <c r="A425" s="345">
        <v>16</v>
      </c>
      <c r="B425" s="350" t="s">
        <v>272</v>
      </c>
      <c r="C425" s="364">
        <v>0.03</v>
      </c>
      <c r="D425" s="351">
        <f>D412*C425</f>
        <v>140568.72</v>
      </c>
      <c r="E425" s="365"/>
      <c r="F425" s="281"/>
      <c r="H425" s="181"/>
      <c r="I425" s="181"/>
      <c r="J425" s="179"/>
      <c r="K425" s="179"/>
    </row>
    <row r="426" spans="1:11" ht="18.75" x14ac:dyDescent="0.2">
      <c r="A426" s="345">
        <v>17</v>
      </c>
      <c r="B426" s="350" t="s">
        <v>260</v>
      </c>
      <c r="C426" s="364">
        <v>0.03</v>
      </c>
      <c r="D426" s="351">
        <f>D412*C426</f>
        <v>140568.72</v>
      </c>
      <c r="E426" s="365"/>
      <c r="F426" s="281"/>
      <c r="H426" s="181"/>
      <c r="I426" s="181"/>
      <c r="J426" s="179"/>
      <c r="K426" s="179"/>
    </row>
    <row r="427" spans="1:11" ht="18.75" x14ac:dyDescent="0.2">
      <c r="A427" s="345">
        <v>18</v>
      </c>
      <c r="B427" s="350" t="s">
        <v>261</v>
      </c>
      <c r="C427" s="364">
        <v>0.03</v>
      </c>
      <c r="D427" s="351">
        <f>D412*C427</f>
        <v>140568.72</v>
      </c>
      <c r="E427" s="365"/>
      <c r="F427" s="281"/>
      <c r="H427" s="181"/>
      <c r="I427" s="181"/>
      <c r="J427" s="179"/>
      <c r="K427" s="179"/>
    </row>
    <row r="428" spans="1:11" ht="18.75" x14ac:dyDescent="0.2">
      <c r="A428" s="345">
        <v>19</v>
      </c>
      <c r="B428" s="350" t="s">
        <v>273</v>
      </c>
      <c r="C428" s="364">
        <v>0.01</v>
      </c>
      <c r="D428" s="351">
        <f>D412*C428</f>
        <v>46856.24</v>
      </c>
      <c r="E428" s="365"/>
      <c r="F428" s="281"/>
      <c r="H428" s="181"/>
      <c r="I428" s="181"/>
      <c r="J428" s="179"/>
      <c r="K428" s="179"/>
    </row>
    <row r="429" spans="1:11" ht="18.75" x14ac:dyDescent="0.2">
      <c r="A429" s="345">
        <v>20</v>
      </c>
      <c r="B429" s="350" t="s">
        <v>262</v>
      </c>
      <c r="C429" s="364">
        <v>0.01</v>
      </c>
      <c r="D429" s="351">
        <f>D412*C429</f>
        <v>46856.24</v>
      </c>
      <c r="E429" s="365"/>
      <c r="F429" s="281"/>
      <c r="H429" s="181"/>
      <c r="I429" s="181"/>
      <c r="J429" s="179"/>
      <c r="K429" s="179"/>
    </row>
    <row r="430" spans="1:11" ht="18.75" x14ac:dyDescent="0.2">
      <c r="A430" s="345">
        <v>21</v>
      </c>
      <c r="B430" s="350" t="s">
        <v>205</v>
      </c>
      <c r="C430" s="364">
        <v>7.0000000000000007E-2</v>
      </c>
      <c r="D430" s="351">
        <f>D412*C430</f>
        <v>327993.68000000005</v>
      </c>
      <c r="E430" s="351"/>
      <c r="F430" s="281"/>
    </row>
    <row r="431" spans="1:11" ht="56.25" x14ac:dyDescent="0.2">
      <c r="A431" s="345">
        <v>22</v>
      </c>
      <c r="B431" s="350" t="s">
        <v>100</v>
      </c>
      <c r="C431" s="364">
        <v>0.1</v>
      </c>
      <c r="D431" s="351">
        <f>D412*C431</f>
        <v>468562.4</v>
      </c>
      <c r="E431" s="365"/>
      <c r="F431" s="281"/>
    </row>
    <row r="432" spans="1:11" ht="18.75" x14ac:dyDescent="0.2">
      <c r="A432" s="345">
        <v>23</v>
      </c>
      <c r="B432" s="366" t="s">
        <v>132</v>
      </c>
      <c r="C432" s="384">
        <f>100%-(SUM(C413:C431))</f>
        <v>3.9999999999999702E-2</v>
      </c>
      <c r="D432" s="351">
        <f>D412*C432</f>
        <v>187424.95999999859</v>
      </c>
      <c r="E432" s="367"/>
      <c r="F432" s="368"/>
    </row>
    <row r="433" spans="1:11" ht="18.75" x14ac:dyDescent="0.2">
      <c r="A433" s="345"/>
      <c r="B433" s="369" t="s">
        <v>22</v>
      </c>
      <c r="C433" s="370"/>
      <c r="D433" s="371">
        <f>SUM(D413:D432)+D408+D409+D411</f>
        <v>6205624</v>
      </c>
      <c r="E433" s="371"/>
      <c r="F433" s="281"/>
    </row>
    <row r="434" spans="1:11" ht="18.75" x14ac:dyDescent="0.2">
      <c r="A434" s="372"/>
      <c r="B434" s="373" t="s">
        <v>23</v>
      </c>
      <c r="C434" s="283"/>
      <c r="D434" s="371">
        <f>D407-D433</f>
        <v>7278436</v>
      </c>
      <c r="E434" s="374"/>
      <c r="F434" s="281"/>
    </row>
    <row r="435" spans="1:11" x14ac:dyDescent="0.2">
      <c r="A435" s="375"/>
      <c r="B435" s="375"/>
      <c r="C435" s="375"/>
      <c r="D435" s="375"/>
      <c r="E435" s="377"/>
      <c r="F435" s="375"/>
    </row>
    <row r="436" spans="1:11" ht="37.5" x14ac:dyDescent="0.2">
      <c r="A436" s="218"/>
      <c r="B436" s="383" t="s">
        <v>403</v>
      </c>
      <c r="C436" s="385">
        <v>45545</v>
      </c>
      <c r="D436" s="382"/>
      <c r="E436" s="381"/>
      <c r="F436" s="382"/>
    </row>
    <row r="437" spans="1:11" ht="55.5" hidden="1" customHeight="1" x14ac:dyDescent="0.2">
      <c r="A437" s="218"/>
      <c r="B437" s="383" t="s">
        <v>404</v>
      </c>
      <c r="C437" s="1107"/>
      <c r="D437" s="1108"/>
      <c r="E437" s="1108"/>
      <c r="F437" s="1109"/>
    </row>
    <row r="438" spans="1:11" ht="37.5" x14ac:dyDescent="0.2">
      <c r="A438" s="218"/>
      <c r="B438" s="383" t="s">
        <v>406</v>
      </c>
      <c r="C438" s="1111">
        <v>74162.33</v>
      </c>
      <c r="D438" s="1112"/>
      <c r="E438" s="1112"/>
      <c r="F438" s="1113"/>
    </row>
    <row r="439" spans="1:11" ht="37.5" x14ac:dyDescent="0.2">
      <c r="A439" s="218"/>
      <c r="B439" s="383" t="s">
        <v>408</v>
      </c>
      <c r="C439" s="1111">
        <v>1348406</v>
      </c>
      <c r="D439" s="1112"/>
      <c r="E439" s="1112"/>
      <c r="F439" s="1113"/>
    </row>
    <row r="440" spans="1:11" ht="51.75" customHeight="1" x14ac:dyDescent="0.2">
      <c r="A440" s="218"/>
      <c r="B440" s="382" t="s">
        <v>302</v>
      </c>
      <c r="C440" s="1107" t="s">
        <v>500</v>
      </c>
      <c r="D440" s="1108"/>
      <c r="E440" s="1108"/>
      <c r="F440" s="1109"/>
    </row>
    <row r="441" spans="1:11" ht="39" customHeight="1" x14ac:dyDescent="0.2">
      <c r="A441" s="218"/>
      <c r="B441" s="382" t="s">
        <v>303</v>
      </c>
      <c r="C441" s="1107" t="s">
        <v>501</v>
      </c>
      <c r="D441" s="1108"/>
      <c r="E441" s="1108"/>
      <c r="F441" s="1109"/>
    </row>
    <row r="442" spans="1:11" ht="18.75" x14ac:dyDescent="0.2">
      <c r="A442" s="168" t="s">
        <v>247</v>
      </c>
      <c r="B442" s="168" t="s">
        <v>247</v>
      </c>
      <c r="C442" s="168" t="s">
        <v>247</v>
      </c>
      <c r="D442" s="168" t="s">
        <v>247</v>
      </c>
      <c r="E442" s="169" t="s">
        <v>247</v>
      </c>
      <c r="F442" s="168" t="s">
        <v>247</v>
      </c>
      <c r="G442" s="170"/>
      <c r="H442" s="250" t="s">
        <v>348</v>
      </c>
      <c r="I442" s="250"/>
      <c r="J442" s="251" t="s">
        <v>349</v>
      </c>
      <c r="K442" s="251" t="s">
        <v>350</v>
      </c>
    </row>
    <row r="443" spans="1:11" ht="20.25" x14ac:dyDescent="0.2">
      <c r="A443" s="802" t="s">
        <v>399</v>
      </c>
      <c r="B443" s="802"/>
      <c r="C443" s="802"/>
      <c r="D443" s="802"/>
      <c r="E443" s="802"/>
      <c r="F443" s="802"/>
      <c r="H443" s="252">
        <v>0.15</v>
      </c>
      <c r="I443" s="348"/>
      <c r="J443" s="349">
        <f>D445-D445*H443</f>
        <v>4284000</v>
      </c>
      <c r="K443" s="253">
        <f>J443-D466</f>
        <v>2022000</v>
      </c>
    </row>
    <row r="444" spans="1:11" ht="20.25" x14ac:dyDescent="0.2">
      <c r="A444" s="802" t="s">
        <v>502</v>
      </c>
      <c r="B444" s="802"/>
      <c r="C444" s="802"/>
      <c r="D444" s="802"/>
      <c r="E444" s="802"/>
      <c r="F444" s="802"/>
      <c r="H444" s="252">
        <v>0.18</v>
      </c>
      <c r="I444" s="252"/>
      <c r="J444" s="253">
        <f>D445-D445*H444</f>
        <v>4132800</v>
      </c>
      <c r="K444" s="253">
        <f>J444-D466</f>
        <v>1870800</v>
      </c>
    </row>
    <row r="445" spans="1:11" ht="19.5" x14ac:dyDescent="0.2">
      <c r="A445" s="345">
        <v>1</v>
      </c>
      <c r="B445" s="346" t="s">
        <v>7</v>
      </c>
      <c r="C445" s="347"/>
      <c r="D445" s="1099">
        <v>5040000</v>
      </c>
      <c r="E445" s="1099"/>
      <c r="F445" s="1099"/>
      <c r="H445" s="252">
        <v>0.2</v>
      </c>
      <c r="I445" s="252"/>
      <c r="J445" s="253">
        <f>D445-D445*H445</f>
        <v>4032000</v>
      </c>
      <c r="K445" s="253">
        <f>J445-D466</f>
        <v>1770000</v>
      </c>
    </row>
    <row r="446" spans="1:11" ht="37.5" x14ac:dyDescent="0.2">
      <c r="A446" s="345">
        <v>2</v>
      </c>
      <c r="B446" s="350" t="s">
        <v>503</v>
      </c>
      <c r="C446" s="347"/>
      <c r="D446" s="351">
        <v>200000</v>
      </c>
      <c r="E446" s="351"/>
      <c r="F446" s="352"/>
      <c r="H446" s="353"/>
      <c r="I446" s="353"/>
      <c r="J446" s="293"/>
      <c r="K446" s="293"/>
    </row>
    <row r="447" spans="1:11" ht="37.5" x14ac:dyDescent="0.2">
      <c r="A447" s="345">
        <v>3</v>
      </c>
      <c r="B447" s="350" t="s">
        <v>504</v>
      </c>
      <c r="C447" s="347"/>
      <c r="D447" s="351">
        <v>150000</v>
      </c>
      <c r="E447" s="351"/>
      <c r="F447" s="352"/>
      <c r="H447" s="358"/>
      <c r="I447" s="358"/>
      <c r="J447" s="296"/>
      <c r="K447" s="296"/>
    </row>
    <row r="448" spans="1:11" ht="37.5" x14ac:dyDescent="0.2">
      <c r="A448" s="345">
        <v>4</v>
      </c>
      <c r="B448" s="350" t="s">
        <v>505</v>
      </c>
      <c r="C448" s="347"/>
      <c r="D448" s="351">
        <v>260000</v>
      </c>
      <c r="E448" s="351"/>
      <c r="F448" s="281"/>
    </row>
    <row r="449" spans="1:6" ht="18.75" x14ac:dyDescent="0.2">
      <c r="A449" s="345">
        <v>5</v>
      </c>
      <c r="B449" s="350" t="s">
        <v>506</v>
      </c>
      <c r="C449" s="347"/>
      <c r="D449" s="351">
        <v>100000</v>
      </c>
      <c r="E449" s="351"/>
      <c r="F449" s="281"/>
    </row>
    <row r="450" spans="1:6" ht="18.75" x14ac:dyDescent="0.2">
      <c r="A450" s="345">
        <v>6</v>
      </c>
      <c r="B450" s="350" t="s">
        <v>507</v>
      </c>
      <c r="C450" s="347"/>
      <c r="D450" s="351">
        <v>200000</v>
      </c>
      <c r="E450" s="351"/>
      <c r="F450" s="281"/>
    </row>
    <row r="451" spans="1:6" ht="18.75" x14ac:dyDescent="0.2">
      <c r="A451" s="345"/>
      <c r="B451" s="359" t="s">
        <v>252</v>
      </c>
      <c r="C451" s="360">
        <v>0.4</v>
      </c>
      <c r="D451" s="361">
        <f>(D445-(SUM(D446:D450)))*C451</f>
        <v>1652000</v>
      </c>
      <c r="E451" s="362"/>
      <c r="F451" s="363"/>
    </row>
    <row r="452" spans="1:6" ht="37.5" x14ac:dyDescent="0.2">
      <c r="A452" s="345">
        <v>7</v>
      </c>
      <c r="B452" s="350" t="s">
        <v>253</v>
      </c>
      <c r="C452" s="364">
        <v>0.08</v>
      </c>
      <c r="D452" s="351">
        <f>D451*C452</f>
        <v>132160</v>
      </c>
      <c r="E452" s="351"/>
      <c r="F452" s="281"/>
    </row>
    <row r="453" spans="1:6" ht="18.75" x14ac:dyDescent="0.2">
      <c r="A453" s="345">
        <v>8</v>
      </c>
      <c r="B453" s="350" t="s">
        <v>11</v>
      </c>
      <c r="C453" s="364">
        <v>0.04</v>
      </c>
      <c r="D453" s="351">
        <f>D451*C453</f>
        <v>66080</v>
      </c>
      <c r="E453" s="365"/>
      <c r="F453" s="281"/>
    </row>
    <row r="454" spans="1:6" ht="18.75" x14ac:dyDescent="0.2">
      <c r="A454" s="345">
        <v>9</v>
      </c>
      <c r="B454" s="350" t="s">
        <v>26</v>
      </c>
      <c r="C454" s="364">
        <v>0.11</v>
      </c>
      <c r="D454" s="351">
        <f>D451*C454</f>
        <v>181720</v>
      </c>
      <c r="E454" s="365"/>
      <c r="F454" s="281"/>
    </row>
    <row r="455" spans="1:6" ht="18.75" x14ac:dyDescent="0.2">
      <c r="A455" s="345">
        <v>10</v>
      </c>
      <c r="B455" s="350" t="s">
        <v>494</v>
      </c>
      <c r="C455" s="364">
        <v>0.1</v>
      </c>
      <c r="D455" s="351">
        <f>C455*D451</f>
        <v>165200</v>
      </c>
      <c r="E455" s="365"/>
      <c r="F455" s="281"/>
    </row>
    <row r="456" spans="1:6" ht="18.75" x14ac:dyDescent="0.2">
      <c r="A456" s="345">
        <v>12</v>
      </c>
      <c r="B456" s="350" t="s">
        <v>234</v>
      </c>
      <c r="C456" s="364">
        <v>8.5000000000000006E-2</v>
      </c>
      <c r="D456" s="351">
        <f>C456*D451</f>
        <v>140420</v>
      </c>
      <c r="E456" s="365"/>
      <c r="F456" s="281"/>
    </row>
    <row r="457" spans="1:6" ht="18.75" x14ac:dyDescent="0.2">
      <c r="A457" s="345">
        <v>13</v>
      </c>
      <c r="B457" s="350" t="s">
        <v>236</v>
      </c>
      <c r="C457" s="364">
        <v>7.0000000000000007E-2</v>
      </c>
      <c r="D457" s="351">
        <f>C457*D451</f>
        <v>115640.00000000001</v>
      </c>
      <c r="E457" s="365"/>
      <c r="F457" s="281"/>
    </row>
    <row r="458" spans="1:6" ht="18.75" x14ac:dyDescent="0.2">
      <c r="A458" s="345">
        <v>14</v>
      </c>
      <c r="B458" s="350" t="s">
        <v>508</v>
      </c>
      <c r="C458" s="364">
        <v>0.08</v>
      </c>
      <c r="D458" s="351">
        <f>C458*D451</f>
        <v>132160</v>
      </c>
      <c r="E458" s="365"/>
      <c r="F458" s="281"/>
    </row>
    <row r="459" spans="1:6" ht="18.75" x14ac:dyDescent="0.2">
      <c r="A459" s="345">
        <v>15</v>
      </c>
      <c r="B459" s="350" t="s">
        <v>257</v>
      </c>
      <c r="C459" s="364">
        <v>7.0000000000000007E-2</v>
      </c>
      <c r="D459" s="351">
        <f>C459*D451</f>
        <v>115640.00000000001</v>
      </c>
      <c r="E459" s="365"/>
      <c r="F459" s="281"/>
    </row>
    <row r="460" spans="1:6" ht="18.75" x14ac:dyDescent="0.2">
      <c r="A460" s="345">
        <v>16</v>
      </c>
      <c r="B460" s="350" t="s">
        <v>260</v>
      </c>
      <c r="C460" s="364">
        <v>0.03</v>
      </c>
      <c r="D460" s="351">
        <f>D451*C460</f>
        <v>49560</v>
      </c>
      <c r="E460" s="365"/>
      <c r="F460" s="281"/>
    </row>
    <row r="461" spans="1:6" ht="18.75" x14ac:dyDescent="0.2">
      <c r="A461" s="345">
        <v>17</v>
      </c>
      <c r="B461" s="350" t="s">
        <v>509</v>
      </c>
      <c r="C461" s="364">
        <v>0.08</v>
      </c>
      <c r="D461" s="351">
        <f>C461*D451</f>
        <v>132160</v>
      </c>
      <c r="E461" s="365"/>
      <c r="F461" s="281"/>
    </row>
    <row r="462" spans="1:6" ht="18.75" x14ac:dyDescent="0.2">
      <c r="A462" s="345">
        <v>18</v>
      </c>
      <c r="B462" s="350" t="s">
        <v>262</v>
      </c>
      <c r="C462" s="364">
        <v>2.5000000000000001E-2</v>
      </c>
      <c r="D462" s="351">
        <f>C462*D451</f>
        <v>41300</v>
      </c>
      <c r="E462" s="365"/>
      <c r="F462" s="281"/>
    </row>
    <row r="463" spans="1:6" ht="18.75" x14ac:dyDescent="0.2">
      <c r="A463" s="345">
        <v>19</v>
      </c>
      <c r="B463" s="350" t="s">
        <v>205</v>
      </c>
      <c r="C463" s="364">
        <v>7.0000000000000007E-2</v>
      </c>
      <c r="D463" s="351">
        <f>C463*D451</f>
        <v>115640.00000000001</v>
      </c>
      <c r="E463" s="351"/>
      <c r="F463" s="281"/>
    </row>
    <row r="464" spans="1:6" ht="56.25" x14ac:dyDescent="0.2">
      <c r="A464" s="345">
        <v>20</v>
      </c>
      <c r="B464" s="350" t="s">
        <v>100</v>
      </c>
      <c r="C464" s="364">
        <v>0.1</v>
      </c>
      <c r="D464" s="351">
        <f>C464*D451</f>
        <v>165200</v>
      </c>
      <c r="E464" s="365"/>
      <c r="F464" s="281"/>
    </row>
    <row r="465" spans="1:11" ht="18.75" x14ac:dyDescent="0.2">
      <c r="A465" s="345">
        <v>21</v>
      </c>
      <c r="B465" s="366" t="s">
        <v>132</v>
      </c>
      <c r="C465" s="384">
        <f>100%-C452-C453-C454-C455-C456-C457-C458-C459-C460-C461-C462-C463-C464</f>
        <v>6.0000000000000053E-2</v>
      </c>
      <c r="D465" s="351">
        <f>C465*D451</f>
        <v>99120.000000000087</v>
      </c>
      <c r="E465" s="367"/>
      <c r="F465" s="368"/>
    </row>
    <row r="466" spans="1:11" ht="18.75" x14ac:dyDescent="0.2">
      <c r="A466" s="321"/>
      <c r="B466" s="369" t="s">
        <v>22</v>
      </c>
      <c r="C466" s="370"/>
      <c r="D466" s="371">
        <f>SUM(D446:D448,D452:D465)</f>
        <v>2262000</v>
      </c>
      <c r="E466" s="371"/>
      <c r="F466" s="281"/>
    </row>
    <row r="467" spans="1:11" ht="18.75" x14ac:dyDescent="0.2">
      <c r="A467" s="386"/>
      <c r="B467" s="373" t="s">
        <v>23</v>
      </c>
      <c r="C467" s="283"/>
      <c r="D467" s="371">
        <f>D445-D466</f>
        <v>2778000</v>
      </c>
      <c r="E467" s="374"/>
      <c r="F467" s="281"/>
    </row>
    <row r="468" spans="1:11" x14ac:dyDescent="0.2">
      <c r="A468" s="387"/>
      <c r="B468" s="281"/>
      <c r="C468" s="281"/>
      <c r="D468" s="365"/>
      <c r="E468" s="282"/>
      <c r="F468" s="281"/>
    </row>
    <row r="469" spans="1:11" ht="37.5" x14ac:dyDescent="0.2">
      <c r="A469" s="222"/>
      <c r="B469" s="388" t="s">
        <v>403</v>
      </c>
      <c r="C469" s="379"/>
      <c r="D469" s="389"/>
      <c r="E469" s="390"/>
      <c r="F469" s="389"/>
    </row>
    <row r="470" spans="1:11" ht="18.75" x14ac:dyDescent="0.2">
      <c r="A470" s="222"/>
      <c r="B470" s="388" t="s">
        <v>404</v>
      </c>
      <c r="C470" s="1098"/>
      <c r="D470" s="1098"/>
      <c r="E470" s="1098"/>
      <c r="F470" s="1098"/>
    </row>
    <row r="471" spans="1:11" ht="37.5" x14ac:dyDescent="0.2">
      <c r="A471" s="222"/>
      <c r="B471" s="388" t="s">
        <v>406</v>
      </c>
      <c r="C471" s="1103"/>
      <c r="D471" s="1103"/>
      <c r="E471" s="1103"/>
      <c r="F471" s="1103"/>
    </row>
    <row r="472" spans="1:11" ht="37.5" x14ac:dyDescent="0.2">
      <c r="A472" s="222"/>
      <c r="B472" s="388" t="s">
        <v>408</v>
      </c>
      <c r="C472" s="1103"/>
      <c r="D472" s="1103"/>
      <c r="E472" s="1103"/>
      <c r="F472" s="1103"/>
    </row>
    <row r="473" spans="1:11" ht="142.5" customHeight="1" x14ac:dyDescent="0.2">
      <c r="A473" s="222"/>
      <c r="B473" s="389" t="s">
        <v>302</v>
      </c>
      <c r="C473" s="1098" t="s">
        <v>510</v>
      </c>
      <c r="D473" s="1098"/>
      <c r="E473" s="1098"/>
      <c r="F473" s="1098"/>
    </row>
    <row r="474" spans="1:11" ht="18.75" x14ac:dyDescent="0.2">
      <c r="A474" s="222"/>
      <c r="B474" s="389" t="s">
        <v>303</v>
      </c>
      <c r="C474" s="1098"/>
      <c r="D474" s="1098"/>
      <c r="E474" s="1098"/>
      <c r="F474" s="1098"/>
      <c r="H474" s="180"/>
      <c r="I474" s="180"/>
    </row>
    <row r="475" spans="1:11" ht="18.75" x14ac:dyDescent="0.2">
      <c r="A475" s="168" t="s">
        <v>247</v>
      </c>
      <c r="B475" s="168" t="s">
        <v>247</v>
      </c>
      <c r="C475" s="168" t="s">
        <v>247</v>
      </c>
      <c r="D475" s="168" t="s">
        <v>247</v>
      </c>
      <c r="E475" s="169" t="s">
        <v>247</v>
      </c>
      <c r="F475" s="168" t="s">
        <v>247</v>
      </c>
      <c r="H475" s="250" t="s">
        <v>348</v>
      </c>
      <c r="I475" s="250"/>
      <c r="J475" s="251" t="s">
        <v>349</v>
      </c>
      <c r="K475" s="251" t="s">
        <v>350</v>
      </c>
    </row>
    <row r="476" spans="1:11" ht="20.25" x14ac:dyDescent="0.2">
      <c r="A476" s="802" t="s">
        <v>474</v>
      </c>
      <c r="B476" s="802"/>
      <c r="C476" s="802"/>
      <c r="D476" s="802"/>
      <c r="E476" s="802"/>
      <c r="F476" s="802"/>
      <c r="H476" s="252">
        <v>0.1</v>
      </c>
      <c r="I476" s="348"/>
      <c r="J476" s="349">
        <f>D478-D478*H476</f>
        <v>9900000</v>
      </c>
      <c r="K476" s="253">
        <f>J476-D505</f>
        <v>2740000</v>
      </c>
    </row>
    <row r="477" spans="1:11" ht="20.25" x14ac:dyDescent="0.2">
      <c r="A477" s="802" t="s">
        <v>511</v>
      </c>
      <c r="B477" s="802"/>
      <c r="C477" s="802"/>
      <c r="D477" s="802"/>
      <c r="E477" s="802"/>
      <c r="F477" s="802"/>
      <c r="H477" s="252">
        <v>0.15</v>
      </c>
      <c r="I477" s="348"/>
      <c r="J477" s="349">
        <f>D478-D478*H477</f>
        <v>9350000</v>
      </c>
      <c r="K477" s="253">
        <f>J477-D505</f>
        <v>2190000</v>
      </c>
    </row>
    <row r="478" spans="1:11" ht="19.5" x14ac:dyDescent="0.2">
      <c r="A478" s="345">
        <v>1</v>
      </c>
      <c r="B478" s="346" t="s">
        <v>7</v>
      </c>
      <c r="C478" s="347"/>
      <c r="D478" s="1099">
        <v>11000000</v>
      </c>
      <c r="E478" s="1099"/>
      <c r="F478" s="1099"/>
      <c r="H478" s="252">
        <v>0.2</v>
      </c>
      <c r="I478" s="348"/>
      <c r="J478" s="349">
        <f>D478-D478*H478</f>
        <v>8800000</v>
      </c>
      <c r="K478" s="253">
        <f>J478-D505</f>
        <v>1640000</v>
      </c>
    </row>
    <row r="479" spans="1:11" ht="18.75" x14ac:dyDescent="0.2">
      <c r="A479" s="345"/>
      <c r="B479" s="350"/>
      <c r="C479" s="347"/>
      <c r="D479" s="351"/>
      <c r="E479" s="351"/>
      <c r="F479" s="352"/>
      <c r="H479" s="252">
        <v>0.25</v>
      </c>
      <c r="I479" s="348"/>
      <c r="J479" s="349">
        <f>D478-D478*H479</f>
        <v>8250000</v>
      </c>
      <c r="K479" s="253">
        <f>J479-D505</f>
        <v>1090000</v>
      </c>
    </row>
    <row r="480" spans="1:11" ht="37.5" x14ac:dyDescent="0.2">
      <c r="A480" s="345"/>
      <c r="B480" s="350" t="s">
        <v>512</v>
      </c>
      <c r="C480" s="347"/>
      <c r="D480" s="351">
        <v>300000</v>
      </c>
      <c r="E480" s="351"/>
      <c r="F480" s="1100" t="s">
        <v>513</v>
      </c>
      <c r="H480" s="252"/>
      <c r="I480" s="252"/>
      <c r="J480" s="253"/>
      <c r="K480" s="253"/>
    </row>
    <row r="481" spans="1:9" ht="37.5" x14ac:dyDescent="0.2">
      <c r="A481" s="345">
        <v>2</v>
      </c>
      <c r="B481" s="350" t="s">
        <v>514</v>
      </c>
      <c r="C481" s="347"/>
      <c r="D481" s="351">
        <v>400000</v>
      </c>
      <c r="E481" s="351"/>
      <c r="F481" s="1101"/>
      <c r="H481" s="180"/>
      <c r="I481" s="180"/>
    </row>
    <row r="482" spans="1:9" ht="30" customHeight="1" x14ac:dyDescent="0.2">
      <c r="A482" s="345"/>
      <c r="B482" s="350" t="s">
        <v>515</v>
      </c>
      <c r="C482" s="347"/>
      <c r="D482" s="351">
        <v>400000</v>
      </c>
      <c r="E482" s="351"/>
      <c r="F482" s="1100" t="s">
        <v>516</v>
      </c>
      <c r="H482" s="180"/>
      <c r="I482" s="180"/>
    </row>
    <row r="483" spans="1:9" ht="30" customHeight="1" x14ac:dyDescent="0.2">
      <c r="A483" s="345">
        <v>3</v>
      </c>
      <c r="B483" s="350" t="s">
        <v>517</v>
      </c>
      <c r="C483" s="347"/>
      <c r="D483" s="351">
        <v>300000</v>
      </c>
      <c r="E483" s="351"/>
      <c r="F483" s="1101"/>
      <c r="H483" s="180"/>
      <c r="I483" s="180"/>
    </row>
    <row r="484" spans="1:9" ht="37.5" x14ac:dyDescent="0.2">
      <c r="A484" s="345">
        <v>4</v>
      </c>
      <c r="B484" s="391" t="s">
        <v>518</v>
      </c>
      <c r="C484" s="347"/>
      <c r="D484" s="351"/>
      <c r="E484" s="351"/>
      <c r="F484" s="392" t="s">
        <v>519</v>
      </c>
      <c r="H484" s="180"/>
      <c r="I484" s="180"/>
    </row>
    <row r="485" spans="1:9" ht="37.5" x14ac:dyDescent="0.2">
      <c r="A485" s="345"/>
      <c r="B485" s="359" t="s">
        <v>520</v>
      </c>
      <c r="C485" s="360">
        <v>0.4</v>
      </c>
      <c r="D485" s="361">
        <f>(D478-(SUM(D480:D483)))*C485</f>
        <v>3840000</v>
      </c>
      <c r="E485" s="362"/>
      <c r="F485" s="363"/>
    </row>
    <row r="486" spans="1:9" ht="18.75" x14ac:dyDescent="0.2">
      <c r="A486" s="345">
        <v>5</v>
      </c>
      <c r="B486" s="350" t="s">
        <v>11</v>
      </c>
      <c r="C486" s="364">
        <v>0.04</v>
      </c>
      <c r="D486" s="351">
        <f>D485*C486</f>
        <v>153600</v>
      </c>
      <c r="E486" s="365"/>
      <c r="F486" s="281"/>
    </row>
    <row r="487" spans="1:9" ht="18.75" x14ac:dyDescent="0.2">
      <c r="A487" s="345">
        <v>6</v>
      </c>
      <c r="B487" s="350" t="s">
        <v>26</v>
      </c>
      <c r="C487" s="364">
        <v>0.08</v>
      </c>
      <c r="D487" s="351">
        <f>D485*C487</f>
        <v>307200</v>
      </c>
      <c r="E487" s="365"/>
      <c r="F487" s="281"/>
    </row>
    <row r="488" spans="1:9" ht="18.75" x14ac:dyDescent="0.2">
      <c r="A488" s="345">
        <v>7</v>
      </c>
      <c r="B488" s="350" t="s">
        <v>494</v>
      </c>
      <c r="C488" s="364">
        <v>0.05</v>
      </c>
      <c r="D488" s="351">
        <f>C488*D485</f>
        <v>192000</v>
      </c>
      <c r="E488" s="365"/>
      <c r="F488" s="281"/>
    </row>
    <row r="489" spans="1:9" ht="18.75" x14ac:dyDescent="0.2">
      <c r="A489" s="345">
        <v>8</v>
      </c>
      <c r="B489" s="350" t="s">
        <v>20</v>
      </c>
      <c r="C489" s="364">
        <v>7.0000000000000007E-2</v>
      </c>
      <c r="D489" s="351">
        <f>C489*D485</f>
        <v>268800</v>
      </c>
      <c r="E489" s="365"/>
      <c r="F489" s="281"/>
    </row>
    <row r="490" spans="1:9" ht="18.75" x14ac:dyDescent="0.2">
      <c r="A490" s="345">
        <v>9</v>
      </c>
      <c r="B490" s="350" t="s">
        <v>267</v>
      </c>
      <c r="C490" s="364">
        <v>0.09</v>
      </c>
      <c r="D490" s="351">
        <f>C490*D485</f>
        <v>345600</v>
      </c>
      <c r="E490" s="365"/>
      <c r="F490" s="281"/>
    </row>
    <row r="491" spans="1:9" ht="18.75" x14ac:dyDescent="0.2">
      <c r="A491" s="345">
        <v>10</v>
      </c>
      <c r="B491" s="350" t="s">
        <v>256</v>
      </c>
      <c r="C491" s="364">
        <v>0.09</v>
      </c>
      <c r="D491" s="351">
        <f>C491*D485</f>
        <v>345600</v>
      </c>
      <c r="E491" s="365"/>
      <c r="F491" s="281"/>
    </row>
    <row r="492" spans="1:9" ht="18.75" x14ac:dyDescent="0.2">
      <c r="A492" s="345">
        <v>11</v>
      </c>
      <c r="B492" s="350" t="s">
        <v>521</v>
      </c>
      <c r="C492" s="364">
        <v>0.06</v>
      </c>
      <c r="D492" s="351">
        <f>C492*D485</f>
        <v>230400</v>
      </c>
      <c r="E492" s="365"/>
      <c r="F492" s="281"/>
    </row>
    <row r="493" spans="1:9" ht="18.75" x14ac:dyDescent="0.2">
      <c r="A493" s="345">
        <v>12</v>
      </c>
      <c r="B493" s="350" t="s">
        <v>522</v>
      </c>
      <c r="C493" s="364">
        <v>0.05</v>
      </c>
      <c r="D493" s="351">
        <f>C493*D485</f>
        <v>192000</v>
      </c>
      <c r="E493" s="365"/>
      <c r="F493" s="281" t="s">
        <v>523</v>
      </c>
    </row>
    <row r="494" spans="1:9" ht="108" x14ac:dyDescent="0.2">
      <c r="A494" s="345">
        <v>13</v>
      </c>
      <c r="B494" s="350" t="s">
        <v>524</v>
      </c>
      <c r="C494" s="364">
        <v>0.05</v>
      </c>
      <c r="D494" s="351">
        <f>C494*D485</f>
        <v>192000</v>
      </c>
      <c r="E494" s="365"/>
      <c r="F494" s="281" t="s">
        <v>525</v>
      </c>
    </row>
    <row r="495" spans="1:9" ht="18.75" x14ac:dyDescent="0.2">
      <c r="A495" s="345">
        <v>14</v>
      </c>
      <c r="B495" s="350" t="s">
        <v>526</v>
      </c>
      <c r="C495" s="364">
        <v>0.06</v>
      </c>
      <c r="D495" s="351">
        <f>C495*D485</f>
        <v>230400</v>
      </c>
      <c r="E495" s="365"/>
      <c r="F495" s="281"/>
    </row>
    <row r="496" spans="1:9" ht="18.75" x14ac:dyDescent="0.2">
      <c r="A496" s="345">
        <v>15</v>
      </c>
      <c r="B496" s="350" t="s">
        <v>259</v>
      </c>
      <c r="C496" s="364">
        <v>3.5000000000000003E-2</v>
      </c>
      <c r="D496" s="351">
        <f>C496*D485</f>
        <v>134400</v>
      </c>
      <c r="E496" s="365"/>
      <c r="F496" s="281"/>
    </row>
    <row r="497" spans="1:9" ht="18.75" x14ac:dyDescent="0.2">
      <c r="A497" s="345">
        <v>16</v>
      </c>
      <c r="B497" s="350" t="s">
        <v>260</v>
      </c>
      <c r="C497" s="364">
        <v>2.5000000000000001E-2</v>
      </c>
      <c r="D497" s="351">
        <f>D485*C497</f>
        <v>96000</v>
      </c>
      <c r="E497" s="365"/>
      <c r="F497" s="281"/>
    </row>
    <row r="498" spans="1:9" ht="18.75" x14ac:dyDescent="0.2">
      <c r="A498" s="345">
        <v>17</v>
      </c>
      <c r="B498" s="350" t="s">
        <v>272</v>
      </c>
      <c r="C498" s="364">
        <v>2.5000000000000001E-2</v>
      </c>
      <c r="D498" s="351">
        <f>C498*D485</f>
        <v>96000</v>
      </c>
      <c r="E498" s="365"/>
      <c r="F498" s="281"/>
      <c r="H498" s="180"/>
      <c r="I498" s="180"/>
    </row>
    <row r="499" spans="1:9" ht="18.75" x14ac:dyDescent="0.2">
      <c r="A499" s="345">
        <v>18</v>
      </c>
      <c r="B499" s="350" t="s">
        <v>261</v>
      </c>
      <c r="C499" s="364">
        <v>3.5000000000000003E-2</v>
      </c>
      <c r="D499" s="351">
        <f>D485*C499</f>
        <v>134400</v>
      </c>
      <c r="E499" s="365"/>
      <c r="F499" s="281"/>
      <c r="H499" s="180"/>
      <c r="I499" s="180"/>
    </row>
    <row r="500" spans="1:9" ht="18.75" x14ac:dyDescent="0.2">
      <c r="A500" s="345">
        <v>19</v>
      </c>
      <c r="B500" s="350" t="s">
        <v>262</v>
      </c>
      <c r="C500" s="364">
        <v>0.02</v>
      </c>
      <c r="D500" s="351">
        <f>C500*D485</f>
        <v>76800</v>
      </c>
      <c r="E500" s="365"/>
      <c r="F500" s="281"/>
      <c r="H500" s="180"/>
      <c r="I500" s="180"/>
    </row>
    <row r="501" spans="1:9" ht="18.75" x14ac:dyDescent="0.2">
      <c r="A501" s="345">
        <v>20</v>
      </c>
      <c r="B501" s="350" t="s">
        <v>205</v>
      </c>
      <c r="C501" s="364">
        <v>0.1</v>
      </c>
      <c r="D501" s="351">
        <f>C501*D485</f>
        <v>384000</v>
      </c>
      <c r="E501" s="351"/>
      <c r="F501" s="281"/>
      <c r="H501" s="180"/>
      <c r="I501" s="180"/>
    </row>
    <row r="502" spans="1:9" ht="56.25" x14ac:dyDescent="0.2">
      <c r="A502" s="345">
        <v>21</v>
      </c>
      <c r="B502" s="350" t="s">
        <v>100</v>
      </c>
      <c r="C502" s="364">
        <v>0.05</v>
      </c>
      <c r="D502" s="351">
        <f>C502*D485</f>
        <v>192000</v>
      </c>
      <c r="E502" s="365"/>
      <c r="F502" s="281"/>
      <c r="H502" s="180"/>
      <c r="I502" s="180"/>
    </row>
    <row r="503" spans="1:9" ht="18.75" x14ac:dyDescent="0.2">
      <c r="A503" s="345"/>
      <c r="B503" s="366" t="s">
        <v>374</v>
      </c>
      <c r="C503" s="364">
        <f>SUM(C486:C502)</f>
        <v>0.93</v>
      </c>
      <c r="D503" s="351">
        <f>SUM(D487:D502)</f>
        <v>3417600</v>
      </c>
      <c r="E503" s="365"/>
      <c r="F503" s="281"/>
      <c r="H503" s="180"/>
      <c r="I503" s="180"/>
    </row>
    <row r="504" spans="1:9" ht="18.75" x14ac:dyDescent="0.2">
      <c r="A504" s="345">
        <v>22</v>
      </c>
      <c r="B504" s="366" t="s">
        <v>132</v>
      </c>
      <c r="C504" s="384">
        <f>1-C503</f>
        <v>6.9999999999999951E-2</v>
      </c>
      <c r="D504" s="393">
        <f>D485-SUM(D486:D502)</f>
        <v>268800</v>
      </c>
      <c r="E504" s="367"/>
      <c r="F504" s="368"/>
      <c r="H504" s="180"/>
      <c r="I504" s="180"/>
    </row>
    <row r="505" spans="1:9" ht="18.75" x14ac:dyDescent="0.2">
      <c r="A505" s="321"/>
      <c r="B505" s="369" t="s">
        <v>374</v>
      </c>
      <c r="C505" s="370"/>
      <c r="D505" s="371">
        <f>D478-D485</f>
        <v>7160000</v>
      </c>
      <c r="E505" s="371"/>
      <c r="F505" s="281"/>
      <c r="H505" s="180"/>
      <c r="I505" s="180"/>
    </row>
    <row r="506" spans="1:9" ht="37.5" x14ac:dyDescent="0.2">
      <c r="A506" s="386"/>
      <c r="B506" s="373" t="s">
        <v>284</v>
      </c>
      <c r="C506" s="283"/>
      <c r="D506" s="371">
        <f>D478-D505</f>
        <v>3840000</v>
      </c>
      <c r="E506" s="374"/>
      <c r="F506" s="281"/>
      <c r="H506" s="180"/>
      <c r="I506" s="180"/>
    </row>
    <row r="507" spans="1:9" ht="56.25" x14ac:dyDescent="0.2">
      <c r="A507" s="387"/>
      <c r="B507" s="373" t="s">
        <v>375</v>
      </c>
      <c r="C507" s="281"/>
      <c r="D507" s="371">
        <f>D506+D504</f>
        <v>4108800</v>
      </c>
      <c r="E507" s="282"/>
      <c r="F507" s="281"/>
      <c r="H507" s="180"/>
      <c r="I507" s="180"/>
    </row>
    <row r="508" spans="1:9" ht="18.75" x14ac:dyDescent="0.2">
      <c r="A508" s="394"/>
      <c r="B508" s="373"/>
      <c r="C508" s="281"/>
      <c r="D508" s="371"/>
      <c r="E508" s="282"/>
      <c r="F508" s="281"/>
      <c r="H508" s="180"/>
      <c r="I508" s="180"/>
    </row>
    <row r="509" spans="1:9" ht="37.5" x14ac:dyDescent="0.2">
      <c r="A509" s="222"/>
      <c r="B509" s="388" t="s">
        <v>403</v>
      </c>
      <c r="C509" s="379"/>
      <c r="D509" s="395">
        <v>45576</v>
      </c>
      <c r="E509" s="390"/>
      <c r="F509" s="389"/>
      <c r="H509" s="180"/>
      <c r="I509" s="180"/>
    </row>
    <row r="510" spans="1:9" ht="18.75" x14ac:dyDescent="0.2">
      <c r="A510" s="222"/>
      <c r="B510" s="388" t="s">
        <v>404</v>
      </c>
      <c r="C510" s="1102" t="s">
        <v>527</v>
      </c>
      <c r="D510" s="1102"/>
      <c r="E510" s="1102"/>
      <c r="F510" s="1102"/>
      <c r="H510" s="180"/>
      <c r="I510" s="180"/>
    </row>
    <row r="511" spans="1:9" ht="37.5" x14ac:dyDescent="0.2">
      <c r="A511" s="222"/>
      <c r="B511" s="388" t="s">
        <v>406</v>
      </c>
      <c r="C511" s="1103">
        <v>110000</v>
      </c>
      <c r="D511" s="1103"/>
      <c r="E511" s="1103"/>
      <c r="F511" s="1103"/>
      <c r="H511" s="180"/>
      <c r="I511" s="180"/>
    </row>
    <row r="512" spans="1:9" ht="42.75" customHeight="1" x14ac:dyDescent="0.2">
      <c r="A512" s="222"/>
      <c r="B512" s="388" t="s">
        <v>528</v>
      </c>
      <c r="C512" s="1104" t="s">
        <v>529</v>
      </c>
      <c r="D512" s="1105"/>
      <c r="E512" s="1105"/>
      <c r="F512" s="1106"/>
      <c r="H512" s="180"/>
      <c r="I512" s="180"/>
    </row>
    <row r="513" spans="1:11" ht="37.5" x14ac:dyDescent="0.2">
      <c r="A513" s="222"/>
      <c r="B513" s="388" t="s">
        <v>408</v>
      </c>
      <c r="C513" s="1103">
        <v>1100000</v>
      </c>
      <c r="D513" s="1103"/>
      <c r="E513" s="1103"/>
      <c r="F513" s="1103"/>
      <c r="H513" s="180"/>
      <c r="I513" s="180"/>
    </row>
    <row r="514" spans="1:11" ht="217.5" customHeight="1" x14ac:dyDescent="0.2">
      <c r="A514" s="222"/>
      <c r="B514" s="389" t="s">
        <v>302</v>
      </c>
      <c r="C514" s="1098" t="s">
        <v>530</v>
      </c>
      <c r="D514" s="1098"/>
      <c r="E514" s="1098"/>
      <c r="F514" s="1098"/>
      <c r="H514" s="180"/>
      <c r="I514" s="180"/>
    </row>
    <row r="515" spans="1:11" ht="18.75" x14ac:dyDescent="0.2">
      <c r="A515" s="222"/>
      <c r="B515" s="389" t="s">
        <v>303</v>
      </c>
      <c r="C515" s="1098"/>
      <c r="D515" s="1098"/>
      <c r="E515" s="1098"/>
      <c r="F515" s="1098"/>
      <c r="H515" s="180"/>
      <c r="I515" s="180"/>
    </row>
    <row r="516" spans="1:11" ht="20.25" x14ac:dyDescent="0.2">
      <c r="A516" s="1040" t="s">
        <v>347</v>
      </c>
      <c r="B516" s="1040"/>
      <c r="C516" s="1040"/>
      <c r="D516" s="1040"/>
      <c r="E516" s="1040"/>
      <c r="F516" s="1040"/>
      <c r="G516" s="170"/>
      <c r="H516" s="250" t="s">
        <v>348</v>
      </c>
      <c r="I516" s="250"/>
      <c r="J516" s="251" t="s">
        <v>349</v>
      </c>
      <c r="K516" s="251" t="s">
        <v>350</v>
      </c>
    </row>
    <row r="517" spans="1:11" ht="39.75" customHeight="1" x14ac:dyDescent="0.2">
      <c r="A517" s="802" t="s">
        <v>531</v>
      </c>
      <c r="B517" s="802"/>
      <c r="C517" s="802"/>
      <c r="D517" s="802"/>
      <c r="E517" s="802"/>
      <c r="F517" s="802"/>
      <c r="G517" s="1"/>
      <c r="H517" s="252">
        <v>0.1</v>
      </c>
      <c r="I517" s="348"/>
      <c r="J517" s="349">
        <f>D518-D518*H517</f>
        <v>6579000</v>
      </c>
      <c r="K517" s="253">
        <f>J517-D537</f>
        <v>3115000.0000000005</v>
      </c>
    </row>
    <row r="518" spans="1:11" ht="18.75" x14ac:dyDescent="0.2">
      <c r="A518" s="173">
        <v>1</v>
      </c>
      <c r="B518" s="174" t="s">
        <v>7</v>
      </c>
      <c r="C518" s="175"/>
      <c r="D518" s="820">
        <v>7310000</v>
      </c>
      <c r="E518" s="821"/>
      <c r="F518" s="822"/>
      <c r="G518" s="1"/>
      <c r="H518" s="252">
        <v>0.15</v>
      </c>
      <c r="I518" s="348"/>
      <c r="J518" s="349">
        <f>D518-D518*H518</f>
        <v>6213500</v>
      </c>
      <c r="K518" s="253">
        <f>J518-D537</f>
        <v>2749500.0000000005</v>
      </c>
    </row>
    <row r="519" spans="1:11" ht="18.75" x14ac:dyDescent="0.2">
      <c r="A519" s="173">
        <v>2</v>
      </c>
      <c r="B519" s="174" t="s">
        <v>532</v>
      </c>
      <c r="C519" s="175"/>
      <c r="D519" s="176">
        <v>300000</v>
      </c>
      <c r="E519" s="177"/>
      <c r="F519" s="178"/>
      <c r="G519" s="1"/>
      <c r="H519" s="252">
        <v>0.2</v>
      </c>
      <c r="I519" s="348"/>
      <c r="J519" s="349">
        <f>D518-D518*H519</f>
        <v>5848000</v>
      </c>
      <c r="K519" s="253">
        <f>J519-D537</f>
        <v>2384000.0000000005</v>
      </c>
    </row>
    <row r="520" spans="1:11" ht="18.75" x14ac:dyDescent="0.2">
      <c r="A520" s="173">
        <v>3</v>
      </c>
      <c r="B520" s="174" t="s">
        <v>103</v>
      </c>
      <c r="C520" s="175"/>
      <c r="D520" s="176">
        <v>300000</v>
      </c>
      <c r="E520" s="176"/>
      <c r="F520" s="178"/>
      <c r="G520" s="1"/>
      <c r="H520" s="252">
        <v>0.25</v>
      </c>
      <c r="I520" s="348"/>
      <c r="J520" s="349">
        <f>D518-D518*H520</f>
        <v>5482500</v>
      </c>
      <c r="K520" s="253">
        <f>J520-D537</f>
        <v>2018500.0000000005</v>
      </c>
    </row>
    <row r="521" spans="1:11" ht="31.5" x14ac:dyDescent="0.2">
      <c r="A521" s="173">
        <v>4</v>
      </c>
      <c r="B521" s="174" t="s">
        <v>533</v>
      </c>
      <c r="C521" s="175"/>
      <c r="D521" s="176">
        <v>300000</v>
      </c>
      <c r="E521" s="177"/>
      <c r="F521" s="178"/>
      <c r="G521" s="1"/>
      <c r="H521" s="252"/>
      <c r="I521" s="252"/>
      <c r="J521" s="253"/>
      <c r="K521" s="253"/>
    </row>
    <row r="522" spans="1:11" ht="18.75" x14ac:dyDescent="0.2">
      <c r="A522" s="173"/>
      <c r="B522" s="174" t="s">
        <v>534</v>
      </c>
      <c r="C522" s="175">
        <v>0.4</v>
      </c>
      <c r="D522" s="176">
        <f>(D518-(SUM(D519:D521)))*C522</f>
        <v>2564000</v>
      </c>
      <c r="E522" s="176"/>
      <c r="F522" s="178"/>
      <c r="G522" s="1"/>
      <c r="H522" s="1"/>
      <c r="I522" s="1"/>
      <c r="J522" s="179"/>
      <c r="K522" s="179"/>
    </row>
    <row r="523" spans="1:11" ht="31.5" x14ac:dyDescent="0.2">
      <c r="A523" s="173">
        <v>5</v>
      </c>
      <c r="B523" s="174" t="s">
        <v>253</v>
      </c>
      <c r="C523" s="175">
        <v>0.08</v>
      </c>
      <c r="D523" s="176">
        <f>D522*C523</f>
        <v>205120</v>
      </c>
      <c r="E523" s="177"/>
      <c r="F523" s="178"/>
      <c r="H523" s="181"/>
      <c r="I523" s="181"/>
      <c r="J523" s="179"/>
      <c r="K523" s="179"/>
    </row>
    <row r="524" spans="1:11" ht="18.75" x14ac:dyDescent="0.2">
      <c r="A524" s="173">
        <v>6</v>
      </c>
      <c r="B524" s="174" t="s">
        <v>26</v>
      </c>
      <c r="C524" s="175">
        <v>0.08</v>
      </c>
      <c r="D524" s="176">
        <f>D522*C524</f>
        <v>205120</v>
      </c>
      <c r="E524" s="177"/>
      <c r="F524" s="178"/>
      <c r="H524" s="181"/>
      <c r="I524" s="181"/>
      <c r="J524" s="179"/>
      <c r="K524" s="179"/>
    </row>
    <row r="525" spans="1:11" ht="18.75" x14ac:dyDescent="0.2">
      <c r="A525" s="173">
        <v>7</v>
      </c>
      <c r="B525" s="174" t="s">
        <v>11</v>
      </c>
      <c r="C525" s="175">
        <v>0.04</v>
      </c>
      <c r="D525" s="176">
        <f>D522*C525</f>
        <v>102560</v>
      </c>
      <c r="E525" s="177"/>
      <c r="F525" s="178"/>
      <c r="H525" s="181"/>
      <c r="I525" s="181"/>
      <c r="J525" s="179"/>
      <c r="K525" s="179"/>
    </row>
    <row r="526" spans="1:11" ht="31.5" x14ac:dyDescent="0.2">
      <c r="A526" s="173">
        <v>8</v>
      </c>
      <c r="B526" s="174" t="s">
        <v>535</v>
      </c>
      <c r="C526" s="175">
        <v>0.12</v>
      </c>
      <c r="D526" s="176">
        <f>D522*C526</f>
        <v>307680</v>
      </c>
      <c r="E526" s="177"/>
      <c r="F526" s="178"/>
      <c r="H526" s="181"/>
      <c r="I526" s="181"/>
      <c r="J526" s="179"/>
      <c r="K526" s="179"/>
    </row>
    <row r="527" spans="1:11" ht="18.75" x14ac:dyDescent="0.2">
      <c r="A527" s="173">
        <v>9</v>
      </c>
      <c r="B527" s="174" t="s">
        <v>20</v>
      </c>
      <c r="C527" s="175">
        <v>0.08</v>
      </c>
      <c r="D527" s="176">
        <f>D522*C527</f>
        <v>205120</v>
      </c>
      <c r="E527" s="177"/>
      <c r="F527" s="178"/>
      <c r="H527" s="182"/>
      <c r="I527" s="182"/>
      <c r="J527" s="183"/>
      <c r="K527" s="183"/>
    </row>
    <row r="528" spans="1:11" ht="47.25" x14ac:dyDescent="0.2">
      <c r="A528" s="173">
        <v>10</v>
      </c>
      <c r="B528" s="174" t="s">
        <v>536</v>
      </c>
      <c r="C528" s="175">
        <v>0.05</v>
      </c>
      <c r="D528" s="176">
        <f>D522*C528</f>
        <v>128200</v>
      </c>
      <c r="E528" s="177"/>
      <c r="F528" s="178"/>
      <c r="H528" s="181"/>
      <c r="I528" s="181"/>
      <c r="J528" s="179"/>
      <c r="K528" s="179"/>
    </row>
    <row r="529" spans="1:11" ht="18.75" x14ac:dyDescent="0.2">
      <c r="A529" s="173">
        <v>11</v>
      </c>
      <c r="B529" s="174" t="s">
        <v>168</v>
      </c>
      <c r="C529" s="175">
        <v>0.06</v>
      </c>
      <c r="D529" s="176">
        <f>D522*C529</f>
        <v>153840</v>
      </c>
      <c r="E529" s="176"/>
      <c r="F529" s="178"/>
      <c r="H529" s="181"/>
      <c r="I529" s="181"/>
      <c r="J529" s="179"/>
      <c r="K529" s="179"/>
    </row>
    <row r="530" spans="1:11" ht="18.75" x14ac:dyDescent="0.2">
      <c r="A530" s="173">
        <v>12</v>
      </c>
      <c r="B530" s="174" t="s">
        <v>537</v>
      </c>
      <c r="C530" s="175">
        <v>7.0000000000000007E-2</v>
      </c>
      <c r="D530" s="176">
        <f>D522*C530</f>
        <v>179480.00000000003</v>
      </c>
      <c r="E530" s="177"/>
      <c r="F530" s="178"/>
      <c r="H530" s="181"/>
      <c r="I530" s="181"/>
      <c r="J530" s="179"/>
      <c r="K530" s="179"/>
    </row>
    <row r="531" spans="1:11" ht="18.75" x14ac:dyDescent="0.2">
      <c r="A531" s="173">
        <v>13</v>
      </c>
      <c r="B531" s="174" t="s">
        <v>538</v>
      </c>
      <c r="C531" s="175">
        <v>0.04</v>
      </c>
      <c r="D531" s="176">
        <f>D522*C531</f>
        <v>102560</v>
      </c>
      <c r="E531" s="177"/>
      <c r="F531" s="178"/>
      <c r="H531" s="181"/>
      <c r="I531" s="181"/>
      <c r="J531" s="179"/>
      <c r="K531" s="179"/>
    </row>
    <row r="532" spans="1:11" ht="18.75" x14ac:dyDescent="0.2">
      <c r="A532" s="173">
        <v>14</v>
      </c>
      <c r="B532" s="174" t="s">
        <v>539</v>
      </c>
      <c r="C532" s="175">
        <v>0.05</v>
      </c>
      <c r="D532" s="176">
        <f>C532*D522</f>
        <v>128200</v>
      </c>
      <c r="E532" s="177"/>
      <c r="F532" s="178"/>
      <c r="H532" s="181"/>
      <c r="I532" s="181"/>
      <c r="J532" s="179"/>
      <c r="K532" s="179"/>
    </row>
    <row r="533" spans="1:11" ht="18.75" x14ac:dyDescent="0.2">
      <c r="A533" s="173">
        <v>15</v>
      </c>
      <c r="B533" s="174" t="s">
        <v>540</v>
      </c>
      <c r="C533" s="175">
        <v>0.06</v>
      </c>
      <c r="D533" s="176">
        <f>D522*C533</f>
        <v>153840</v>
      </c>
      <c r="E533" s="177"/>
      <c r="F533" s="178"/>
      <c r="H533" s="181"/>
      <c r="I533" s="181"/>
      <c r="J533" s="179"/>
      <c r="K533" s="179"/>
    </row>
    <row r="534" spans="1:11" x14ac:dyDescent="0.2">
      <c r="A534" s="173">
        <v>16</v>
      </c>
      <c r="B534" s="174" t="s">
        <v>205</v>
      </c>
      <c r="C534" s="175">
        <v>0.12</v>
      </c>
      <c r="D534" s="176">
        <f>D522*C534</f>
        <v>307680</v>
      </c>
      <c r="E534" s="176"/>
      <c r="F534" s="178"/>
    </row>
    <row r="535" spans="1:11" ht="31.5" x14ac:dyDescent="0.2">
      <c r="A535" s="173">
        <v>17</v>
      </c>
      <c r="B535" s="174" t="s">
        <v>100</v>
      </c>
      <c r="C535" s="175">
        <v>0.05</v>
      </c>
      <c r="D535" s="176">
        <f>D522*C535</f>
        <v>128200</v>
      </c>
      <c r="E535" s="177"/>
      <c r="F535" s="178"/>
    </row>
    <row r="536" spans="1:11" x14ac:dyDescent="0.2">
      <c r="A536" s="173">
        <v>18</v>
      </c>
      <c r="B536" s="174" t="s">
        <v>132</v>
      </c>
      <c r="C536" s="175">
        <f>100%-(SUM(C523:C535))</f>
        <v>9.9999999999999756E-2</v>
      </c>
      <c r="D536" s="176">
        <f>D522*C536</f>
        <v>256399.99999999936</v>
      </c>
      <c r="E536" s="176"/>
      <c r="F536" s="178"/>
    </row>
    <row r="537" spans="1:11" x14ac:dyDescent="0.2">
      <c r="A537" s="173"/>
      <c r="B537" s="185" t="s">
        <v>374</v>
      </c>
      <c r="C537" s="186"/>
      <c r="D537" s="187">
        <f>SUM(D519:D521,D523:D536)</f>
        <v>3463999.9999999995</v>
      </c>
      <c r="E537" s="187"/>
      <c r="F537" s="177"/>
    </row>
    <row r="538" spans="1:11" ht="31.5" x14ac:dyDescent="0.2">
      <c r="A538" s="173"/>
      <c r="B538" s="188" t="s">
        <v>275</v>
      </c>
      <c r="C538" s="186"/>
      <c r="D538" s="178">
        <f>D518-D537-D519-D520-D521</f>
        <v>2946000.0000000005</v>
      </c>
      <c r="E538" s="187"/>
      <c r="F538" s="177"/>
    </row>
    <row r="539" spans="1:11" ht="31.5" x14ac:dyDescent="0.2">
      <c r="A539" s="173"/>
      <c r="B539" s="188" t="s">
        <v>375</v>
      </c>
      <c r="C539" s="186"/>
      <c r="D539" s="178">
        <f>D538+D536</f>
        <v>3202400</v>
      </c>
      <c r="E539" s="187"/>
      <c r="F539" s="177"/>
    </row>
    <row r="540" spans="1:11" x14ac:dyDescent="0.2">
      <c r="A540" s="396"/>
      <c r="B540" s="397"/>
      <c r="C540" s="398"/>
      <c r="D540" s="397"/>
      <c r="E540" s="397"/>
      <c r="F540" s="397"/>
      <c r="G540" s="1"/>
      <c r="H540" s="1"/>
      <c r="I540" s="1"/>
      <c r="J540" s="1"/>
      <c r="K540" s="1"/>
    </row>
    <row r="541" spans="1:11" x14ac:dyDescent="0.2">
      <c r="A541" s="267"/>
      <c r="B541" s="174" t="s">
        <v>403</v>
      </c>
      <c r="C541" s="399">
        <v>45778</v>
      </c>
      <c r="D541" s="177"/>
      <c r="E541" s="177"/>
      <c r="F541" s="177"/>
      <c r="G541" s="1"/>
      <c r="H541" s="1"/>
      <c r="I541" s="1"/>
      <c r="J541" s="1"/>
      <c r="K541" s="1"/>
    </row>
    <row r="542" spans="1:11" ht="41.25" customHeight="1" x14ac:dyDescent="0.2">
      <c r="A542" s="267"/>
      <c r="B542" s="174" t="s">
        <v>541</v>
      </c>
      <c r="C542" s="994" t="s">
        <v>542</v>
      </c>
      <c r="D542" s="995"/>
      <c r="E542" s="995"/>
      <c r="F542" s="996"/>
      <c r="G542" s="1"/>
      <c r="H542" s="1"/>
      <c r="I542" s="1"/>
      <c r="J542" s="1"/>
      <c r="K542" s="1"/>
    </row>
    <row r="543" spans="1:11" ht="39.75" customHeight="1" x14ac:dyDescent="0.2">
      <c r="A543" s="267"/>
      <c r="B543" s="174" t="s">
        <v>404</v>
      </c>
      <c r="C543" s="952" t="s">
        <v>543</v>
      </c>
      <c r="D543" s="953"/>
      <c r="E543" s="953"/>
      <c r="F543" s="954"/>
      <c r="G543" s="1"/>
      <c r="H543" s="1"/>
      <c r="I543" s="1"/>
      <c r="J543" s="1"/>
      <c r="K543" s="1"/>
    </row>
    <row r="544" spans="1:11" ht="35.25" customHeight="1" x14ac:dyDescent="0.2">
      <c r="A544" s="267"/>
      <c r="B544" s="174" t="s">
        <v>406</v>
      </c>
      <c r="C544" s="952" t="s">
        <v>544</v>
      </c>
      <c r="D544" s="953"/>
      <c r="E544" s="953"/>
      <c r="F544" s="954"/>
      <c r="G544" s="1"/>
      <c r="H544" s="1"/>
      <c r="I544" s="1"/>
      <c r="J544" s="1"/>
      <c r="K544" s="1"/>
    </row>
    <row r="545" spans="1:11" ht="51.75" customHeight="1" x14ac:dyDescent="0.2">
      <c r="A545" s="267"/>
      <c r="B545" s="174" t="s">
        <v>408</v>
      </c>
      <c r="C545" s="952" t="s">
        <v>545</v>
      </c>
      <c r="D545" s="953"/>
      <c r="E545" s="953"/>
      <c r="F545" s="954"/>
      <c r="G545" s="1"/>
      <c r="H545" s="1"/>
      <c r="I545" s="1"/>
      <c r="J545" s="1"/>
      <c r="K545" s="1"/>
    </row>
    <row r="546" spans="1:11" ht="109.5" customHeight="1" x14ac:dyDescent="0.2">
      <c r="A546" s="267"/>
      <c r="B546" s="174" t="s">
        <v>546</v>
      </c>
      <c r="C546" s="952" t="s">
        <v>547</v>
      </c>
      <c r="D546" s="953"/>
      <c r="E546" s="953"/>
      <c r="F546" s="954"/>
      <c r="G546" s="1"/>
      <c r="H546" s="1"/>
      <c r="I546" s="1"/>
      <c r="J546" s="1"/>
      <c r="K546" s="1"/>
    </row>
    <row r="547" spans="1:11" x14ac:dyDescent="0.2">
      <c r="A547" s="267"/>
      <c r="B547" s="174" t="s">
        <v>548</v>
      </c>
      <c r="C547" s="186"/>
      <c r="D547" s="177"/>
      <c r="E547" s="177"/>
      <c r="F547" s="177"/>
      <c r="G547" s="1"/>
      <c r="H547" s="1"/>
      <c r="I547" s="1"/>
      <c r="J547" s="1"/>
      <c r="K547" s="1"/>
    </row>
    <row r="548" spans="1:11" ht="126" customHeight="1" x14ac:dyDescent="0.2">
      <c r="A548" s="813" t="s">
        <v>285</v>
      </c>
      <c r="B548" s="814"/>
      <c r="C548" s="814"/>
      <c r="D548" s="814"/>
      <c r="E548" s="815"/>
      <c r="F548" s="816"/>
      <c r="H548" s="180"/>
      <c r="I548" s="180"/>
    </row>
    <row r="549" spans="1:11" ht="56.25" x14ac:dyDescent="0.2">
      <c r="A549" s="198">
        <v>1</v>
      </c>
      <c r="B549" s="199" t="s">
        <v>549</v>
      </c>
      <c r="C549" s="200" t="s">
        <v>246</v>
      </c>
      <c r="D549" s="1087">
        <v>2600739.0099999998</v>
      </c>
      <c r="E549" s="1088"/>
      <c r="F549" s="1089"/>
      <c r="H549" s="180"/>
      <c r="I549" s="180"/>
    </row>
    <row r="550" spans="1:11" ht="18.75" x14ac:dyDescent="0.2">
      <c r="A550" s="198">
        <v>2</v>
      </c>
      <c r="B550" s="201"/>
      <c r="C550" s="200"/>
      <c r="D550" s="202"/>
      <c r="E550" s="202"/>
      <c r="F550" s="203"/>
      <c r="H550" s="180"/>
      <c r="I550" s="180"/>
    </row>
    <row r="551" spans="1:11" ht="18.75" x14ac:dyDescent="0.2">
      <c r="A551" s="198">
        <v>3</v>
      </c>
      <c r="B551" s="201"/>
      <c r="C551" s="200"/>
      <c r="D551" s="202"/>
      <c r="E551" s="202"/>
      <c r="F551" s="203"/>
      <c r="H551" s="180"/>
      <c r="I551" s="180"/>
    </row>
    <row r="552" spans="1:11" ht="18.75" x14ac:dyDescent="0.2">
      <c r="A552" s="198">
        <v>4</v>
      </c>
      <c r="B552" s="201"/>
      <c r="C552" s="200"/>
      <c r="D552" s="202"/>
      <c r="E552" s="202"/>
      <c r="F552" s="203"/>
      <c r="H552" s="180"/>
      <c r="I552" s="180"/>
    </row>
    <row r="553" spans="1:11" ht="18.75" x14ac:dyDescent="0.2">
      <c r="A553" s="198">
        <v>5</v>
      </c>
      <c r="B553" s="201"/>
      <c r="C553" s="200"/>
      <c r="D553" s="202"/>
      <c r="E553" s="202"/>
      <c r="F553" s="203"/>
      <c r="H553" s="180"/>
      <c r="I553" s="180"/>
    </row>
    <row r="554" spans="1:11" ht="18.75" x14ac:dyDescent="0.2">
      <c r="A554" s="198">
        <v>6</v>
      </c>
      <c r="B554" s="201"/>
      <c r="C554" s="200"/>
      <c r="D554" s="202"/>
      <c r="E554" s="202"/>
      <c r="F554" s="203"/>
      <c r="H554" s="180"/>
      <c r="I554" s="180"/>
    </row>
    <row r="555" spans="1:11" ht="18.75" x14ac:dyDescent="0.2">
      <c r="A555" s="198">
        <v>7</v>
      </c>
      <c r="B555" s="201"/>
      <c r="C555" s="200"/>
      <c r="D555" s="202"/>
      <c r="E555" s="202"/>
      <c r="F555" s="203"/>
      <c r="H555" s="180"/>
      <c r="I555" s="180"/>
    </row>
    <row r="556" spans="1:11" ht="18.75" x14ac:dyDescent="0.2">
      <c r="A556" s="198">
        <v>8</v>
      </c>
      <c r="B556" s="201"/>
      <c r="C556" s="200"/>
      <c r="D556" s="202"/>
      <c r="E556" s="202"/>
      <c r="F556" s="203"/>
      <c r="H556" s="180"/>
      <c r="I556" s="180"/>
    </row>
    <row r="557" spans="1:11" ht="18.75" x14ac:dyDescent="0.2">
      <c r="A557" s="198">
        <v>9</v>
      </c>
      <c r="B557" s="204"/>
      <c r="C557" s="200"/>
      <c r="D557" s="205"/>
      <c r="E557" s="202"/>
      <c r="F557" s="203"/>
      <c r="H557" s="180"/>
      <c r="I557" s="180"/>
    </row>
    <row r="558" spans="1:11" ht="75" x14ac:dyDescent="0.2">
      <c r="A558" s="198">
        <v>10</v>
      </c>
      <c r="B558" s="204" t="s">
        <v>288</v>
      </c>
      <c r="C558" s="200"/>
      <c r="D558" s="205"/>
      <c r="E558" s="205"/>
      <c r="F558" s="203"/>
      <c r="H558" s="180"/>
      <c r="I558" s="180"/>
    </row>
    <row r="559" spans="1:11" ht="18.75" x14ac:dyDescent="0.2">
      <c r="A559" s="198">
        <v>11</v>
      </c>
      <c r="B559" s="201" t="s">
        <v>118</v>
      </c>
      <c r="C559" s="206">
        <v>0.1</v>
      </c>
      <c r="D559" s="202">
        <f>(D549-SUM(D550:D557))*C559</f>
        <v>260073.90099999998</v>
      </c>
      <c r="E559" s="207"/>
      <c r="F559" s="203"/>
      <c r="H559" s="180"/>
      <c r="I559" s="180"/>
    </row>
    <row r="560" spans="1:11" ht="18.75" x14ac:dyDescent="0.2">
      <c r="A560" s="198">
        <v>12</v>
      </c>
      <c r="B560" s="201" t="s">
        <v>11</v>
      </c>
      <c r="C560" s="206">
        <v>0.04</v>
      </c>
      <c r="D560" s="202">
        <f>(D549-SUM(D550:D557))*C560</f>
        <v>104029.56039999999</v>
      </c>
      <c r="E560" s="207"/>
      <c r="F560" s="203"/>
      <c r="H560" s="180"/>
      <c r="I560" s="180"/>
    </row>
    <row r="561" spans="1:9" ht="18.75" x14ac:dyDescent="0.2">
      <c r="A561" s="198">
        <v>13</v>
      </c>
      <c r="B561" s="201" t="s">
        <v>290</v>
      </c>
      <c r="C561" s="206">
        <v>0.04</v>
      </c>
      <c r="D561" s="202">
        <f>(D549-SUM(D550:D557))*C561</f>
        <v>104029.56039999999</v>
      </c>
      <c r="E561" s="207"/>
      <c r="F561" s="203"/>
      <c r="H561" s="180"/>
      <c r="I561" s="180"/>
    </row>
    <row r="562" spans="1:9" ht="18.75" x14ac:dyDescent="0.2">
      <c r="A562" s="198">
        <v>14</v>
      </c>
      <c r="B562" s="201" t="s">
        <v>267</v>
      </c>
      <c r="C562" s="206">
        <v>0</v>
      </c>
      <c r="D562" s="202">
        <f>(D549-SUM(D550:D557))*C562</f>
        <v>0</v>
      </c>
      <c r="E562" s="207"/>
      <c r="F562" s="203"/>
      <c r="H562" s="180"/>
      <c r="I562" s="180"/>
    </row>
    <row r="563" spans="1:9" ht="18.75" x14ac:dyDescent="0.2">
      <c r="A563" s="198">
        <v>15</v>
      </c>
      <c r="B563" s="201" t="s">
        <v>292</v>
      </c>
      <c r="C563" s="206">
        <v>0</v>
      </c>
      <c r="D563" s="202">
        <f>(D549-SUM(D550:D557))*C563</f>
        <v>0</v>
      </c>
      <c r="E563" s="207"/>
      <c r="F563" s="203"/>
      <c r="H563" s="180"/>
      <c r="I563" s="180"/>
    </row>
    <row r="564" spans="1:9" ht="18.75" x14ac:dyDescent="0.2">
      <c r="A564" s="198">
        <v>16</v>
      </c>
      <c r="B564" s="201" t="s">
        <v>293</v>
      </c>
      <c r="C564" s="206">
        <v>0.04</v>
      </c>
      <c r="D564" s="202">
        <f>(D549-SUM(D550:D557))*C564</f>
        <v>104029.56039999999</v>
      </c>
      <c r="E564" s="207"/>
      <c r="F564" s="203"/>
      <c r="H564" s="180"/>
      <c r="I564" s="180"/>
    </row>
    <row r="565" spans="1:9" ht="18.75" x14ac:dyDescent="0.2">
      <c r="A565" s="198">
        <v>17</v>
      </c>
      <c r="B565" s="201" t="s">
        <v>294</v>
      </c>
      <c r="C565" s="206">
        <v>0.04</v>
      </c>
      <c r="D565" s="202">
        <f>(D549-SUM(D550:D557))*C565</f>
        <v>104029.56039999999</v>
      </c>
      <c r="E565" s="207"/>
      <c r="F565" s="203"/>
      <c r="H565" s="180"/>
      <c r="I565" s="180"/>
    </row>
    <row r="566" spans="1:9" ht="18.75" x14ac:dyDescent="0.2">
      <c r="A566" s="198">
        <v>18</v>
      </c>
      <c r="B566" s="201" t="s">
        <v>295</v>
      </c>
      <c r="C566" s="206">
        <v>0.04</v>
      </c>
      <c r="D566" s="202">
        <f>(D549-SUM(D550:D557))*C566</f>
        <v>104029.56039999999</v>
      </c>
      <c r="E566" s="207"/>
      <c r="F566" s="203"/>
      <c r="H566" s="180"/>
      <c r="I566" s="180"/>
    </row>
    <row r="567" spans="1:9" ht="18.75" x14ac:dyDescent="0.2">
      <c r="A567" s="198">
        <v>19</v>
      </c>
      <c r="B567" s="201" t="s">
        <v>296</v>
      </c>
      <c r="C567" s="206">
        <v>0.04</v>
      </c>
      <c r="D567" s="202">
        <f>(D549-SUM(D550:D557))*C567</f>
        <v>104029.56039999999</v>
      </c>
      <c r="E567" s="207"/>
      <c r="F567" s="203"/>
      <c r="H567" s="180"/>
      <c r="I567" s="180"/>
    </row>
    <row r="568" spans="1:9" ht="18.75" x14ac:dyDescent="0.2">
      <c r="A568" s="198">
        <v>20</v>
      </c>
      <c r="B568" s="201" t="s">
        <v>297</v>
      </c>
      <c r="C568" s="206">
        <v>0.04</v>
      </c>
      <c r="D568" s="202">
        <f>(D549-SUM(D550:D557))*C568</f>
        <v>104029.56039999999</v>
      </c>
      <c r="E568" s="207"/>
      <c r="F568" s="203"/>
      <c r="H568" s="180"/>
      <c r="I568" s="180"/>
    </row>
    <row r="569" spans="1:9" ht="18.75" x14ac:dyDescent="0.2">
      <c r="A569" s="198">
        <v>21</v>
      </c>
      <c r="B569" s="201" t="s">
        <v>298</v>
      </c>
      <c r="C569" s="206">
        <v>0</v>
      </c>
      <c r="D569" s="202">
        <f>(D549-SUM(D550:D557))*C569</f>
        <v>0</v>
      </c>
      <c r="E569" s="207"/>
      <c r="F569" s="203"/>
      <c r="H569" s="180"/>
      <c r="I569" s="180"/>
    </row>
    <row r="570" spans="1:9" ht="18.75" x14ac:dyDescent="0.2">
      <c r="A570" s="198">
        <v>22</v>
      </c>
      <c r="B570" s="201" t="s">
        <v>299</v>
      </c>
      <c r="C570" s="206">
        <v>0.05</v>
      </c>
      <c r="D570" s="202">
        <f>(D549-SUM(D550:D557))*C570</f>
        <v>130036.95049999999</v>
      </c>
      <c r="E570" s="207"/>
      <c r="F570" s="203"/>
      <c r="H570" s="180"/>
      <c r="I570" s="180"/>
    </row>
    <row r="571" spans="1:9" ht="18.75" x14ac:dyDescent="0.2">
      <c r="A571" s="198">
        <v>23</v>
      </c>
      <c r="B571" s="201" t="s">
        <v>272</v>
      </c>
      <c r="C571" s="206">
        <v>0.04</v>
      </c>
      <c r="D571" s="202">
        <f>(D549-SUM(D550:D557))*C571</f>
        <v>104029.56039999999</v>
      </c>
      <c r="E571" s="207"/>
      <c r="F571" s="203"/>
      <c r="H571" s="180"/>
      <c r="I571" s="180"/>
    </row>
    <row r="572" spans="1:9" ht="18.75" x14ac:dyDescent="0.2">
      <c r="A572" s="198">
        <v>24</v>
      </c>
      <c r="B572" s="201" t="s">
        <v>300</v>
      </c>
      <c r="C572" s="206">
        <v>0.04</v>
      </c>
      <c r="D572" s="202">
        <f>(D549-SUM(D550:D557))*C572</f>
        <v>104029.56039999999</v>
      </c>
      <c r="E572" s="207"/>
      <c r="F572" s="203"/>
      <c r="H572" s="180"/>
      <c r="I572" s="180"/>
    </row>
    <row r="573" spans="1:9" ht="18.75" x14ac:dyDescent="0.2">
      <c r="A573" s="198">
        <v>25</v>
      </c>
      <c r="B573" s="201" t="s">
        <v>273</v>
      </c>
      <c r="C573" s="206">
        <v>0</v>
      </c>
      <c r="D573" s="202">
        <f>(D549-SUM(D550:D557))*C573</f>
        <v>0</v>
      </c>
      <c r="E573" s="207"/>
      <c r="F573" s="203"/>
      <c r="H573" s="180"/>
      <c r="I573" s="180"/>
    </row>
    <row r="574" spans="1:9" ht="18.75" x14ac:dyDescent="0.2">
      <c r="A574" s="198">
        <v>26</v>
      </c>
      <c r="B574" s="201" t="s">
        <v>262</v>
      </c>
      <c r="C574" s="206">
        <v>0</v>
      </c>
      <c r="D574" s="202">
        <f>(D549-SUM(D550:D557))*C574</f>
        <v>0</v>
      </c>
      <c r="E574" s="207"/>
      <c r="F574" s="203"/>
      <c r="H574" s="180"/>
      <c r="I574" s="180"/>
    </row>
    <row r="575" spans="1:9" ht="18.75" x14ac:dyDescent="0.2">
      <c r="A575" s="198">
        <v>27</v>
      </c>
      <c r="B575" s="201" t="s">
        <v>205</v>
      </c>
      <c r="C575" s="206">
        <v>0.05</v>
      </c>
      <c r="D575" s="202">
        <f>(D549-SUM(D550:D557))*C575</f>
        <v>130036.95049999999</v>
      </c>
      <c r="E575" s="202"/>
      <c r="F575" s="203"/>
      <c r="H575" s="180"/>
      <c r="I575" s="180"/>
    </row>
    <row r="576" spans="1:9" ht="56.25" x14ac:dyDescent="0.2">
      <c r="A576" s="198">
        <v>28</v>
      </c>
      <c r="B576" s="201" t="s">
        <v>100</v>
      </c>
      <c r="C576" s="206">
        <v>3.5000000000000003E-2</v>
      </c>
      <c r="D576" s="202">
        <f>(D549-SUM(D550:D557))*C576</f>
        <v>91025.865350000007</v>
      </c>
      <c r="E576" s="207"/>
      <c r="F576" s="203"/>
      <c r="H576" s="180"/>
      <c r="I576" s="180"/>
    </row>
    <row r="577" spans="1:10" ht="18.75" x14ac:dyDescent="0.2">
      <c r="A577" s="198">
        <v>29</v>
      </c>
      <c r="B577" s="208" t="s">
        <v>132</v>
      </c>
      <c r="C577" s="209">
        <f>100%-(SUM(C559:C576))</f>
        <v>0.40500000000000003</v>
      </c>
      <c r="D577" s="210">
        <f>D549-(SUM(D559:D576))</f>
        <v>1053299.2990499998</v>
      </c>
      <c r="E577" s="211"/>
      <c r="F577" s="212"/>
      <c r="H577" s="180"/>
      <c r="I577" s="180"/>
    </row>
    <row r="578" spans="1:10" ht="18.75" x14ac:dyDescent="0.2">
      <c r="A578" s="198"/>
      <c r="B578" s="311" t="s">
        <v>22</v>
      </c>
      <c r="C578" s="203"/>
      <c r="D578" s="214">
        <f>SUM(D550:D577)</f>
        <v>2600739.0099999998</v>
      </c>
      <c r="E578" s="214">
        <f>SUM(E550:E577)</f>
        <v>0</v>
      </c>
      <c r="F578" s="203"/>
      <c r="H578" s="180"/>
      <c r="I578" s="180"/>
    </row>
    <row r="579" spans="1:10" ht="19.5" x14ac:dyDescent="0.2">
      <c r="A579" s="198"/>
      <c r="B579" s="215" t="s">
        <v>23</v>
      </c>
      <c r="C579" s="203"/>
      <c r="D579" s="202">
        <f>D549-D578</f>
        <v>0</v>
      </c>
      <c r="E579" s="312">
        <f>D549-E578</f>
        <v>2600739.0099999998</v>
      </c>
      <c r="F579" s="203"/>
      <c r="H579" s="180"/>
      <c r="I579" s="180"/>
    </row>
    <row r="580" spans="1:10" x14ac:dyDescent="0.2">
      <c r="A580" s="216"/>
      <c r="B580" s="216"/>
      <c r="C580" s="216"/>
      <c r="D580" s="216"/>
      <c r="E580" s="217"/>
      <c r="F580" s="216"/>
      <c r="H580" s="180"/>
      <c r="I580" s="180"/>
    </row>
    <row r="581" spans="1:10" x14ac:dyDescent="0.2">
      <c r="A581" s="218"/>
      <c r="B581" s="219" t="s">
        <v>301</v>
      </c>
      <c r="C581" s="220"/>
      <c r="D581" s="218"/>
      <c r="E581" s="221"/>
      <c r="F581" s="218"/>
      <c r="H581" s="180"/>
      <c r="I581" s="180"/>
    </row>
    <row r="582" spans="1:10" ht="39.75" customHeight="1" x14ac:dyDescent="0.2">
      <c r="A582" s="218"/>
      <c r="B582" s="218" t="s">
        <v>302</v>
      </c>
      <c r="C582" s="817"/>
      <c r="D582" s="818"/>
      <c r="E582" s="818"/>
      <c r="F582" s="819"/>
      <c r="H582" s="180"/>
      <c r="I582" s="180"/>
    </row>
    <row r="583" spans="1:10" ht="88.5" customHeight="1" x14ac:dyDescent="0.2">
      <c r="A583" s="400"/>
      <c r="B583" s="400" t="s">
        <v>303</v>
      </c>
      <c r="C583" s="1090" t="s">
        <v>304</v>
      </c>
      <c r="D583" s="1091"/>
      <c r="E583" s="1091"/>
      <c r="F583" s="1092"/>
      <c r="H583" s="180"/>
      <c r="I583" s="180"/>
    </row>
    <row r="584" spans="1:10" ht="69.75" customHeight="1" x14ac:dyDescent="0.2">
      <c r="A584" s="807" t="s">
        <v>347</v>
      </c>
      <c r="B584" s="808"/>
      <c r="C584" s="808"/>
      <c r="D584" s="808"/>
      <c r="E584" s="808"/>
      <c r="F584" s="809"/>
      <c r="G584" s="250" t="s">
        <v>348</v>
      </c>
      <c r="H584" s="251" t="s">
        <v>349</v>
      </c>
      <c r="I584" s="251"/>
      <c r="J584" s="251" t="s">
        <v>350</v>
      </c>
    </row>
    <row r="585" spans="1:10" ht="71.25" customHeight="1" x14ac:dyDescent="0.2">
      <c r="A585" s="810" t="s">
        <v>550</v>
      </c>
      <c r="B585" s="811"/>
      <c r="C585" s="811"/>
      <c r="D585" s="811"/>
      <c r="E585" s="811"/>
      <c r="F585" s="1077"/>
      <c r="G585" s="252">
        <v>0.1</v>
      </c>
      <c r="H585" s="253">
        <f>D586-D586*G585</f>
        <v>7719438.2130000005</v>
      </c>
      <c r="I585" s="253"/>
      <c r="J585" s="253">
        <f>H585-D622</f>
        <v>511546.73155000061</v>
      </c>
    </row>
    <row r="586" spans="1:10" ht="18.75" x14ac:dyDescent="0.2">
      <c r="A586" s="173">
        <v>1</v>
      </c>
      <c r="B586" s="174" t="s">
        <v>7</v>
      </c>
      <c r="C586" s="401"/>
      <c r="D586" s="1093">
        <v>8577153.5700000003</v>
      </c>
      <c r="E586" s="823"/>
      <c r="F586" s="1094"/>
      <c r="G586" s="252">
        <v>0.15</v>
      </c>
      <c r="H586" s="253">
        <f>D586-D586*15%</f>
        <v>7290580.5345000001</v>
      </c>
      <c r="I586" s="253"/>
      <c r="J586" s="253">
        <f>H586-D622</f>
        <v>82689.053050000221</v>
      </c>
    </row>
    <row r="587" spans="1:10" ht="18.75" x14ac:dyDescent="0.2">
      <c r="A587" s="98">
        <v>2</v>
      </c>
      <c r="B587" s="21" t="s">
        <v>103</v>
      </c>
      <c r="C587" s="99"/>
      <c r="D587" s="72">
        <v>457972</v>
      </c>
      <c r="E587" s="60"/>
      <c r="F587" s="402" t="s">
        <v>551</v>
      </c>
      <c r="G587" s="252">
        <v>0.2</v>
      </c>
      <c r="H587" s="253">
        <f>D586-D586*20%</f>
        <v>6861722.8560000006</v>
      </c>
      <c r="I587" s="253"/>
      <c r="J587" s="253">
        <f>H587-D622</f>
        <v>-346168.62544999924</v>
      </c>
    </row>
    <row r="588" spans="1:10" ht="18.75" x14ac:dyDescent="0.2">
      <c r="A588" s="98">
        <v>3</v>
      </c>
      <c r="B588" s="21" t="s">
        <v>552</v>
      </c>
      <c r="C588" s="99"/>
      <c r="D588" s="72">
        <v>600000</v>
      </c>
      <c r="E588" s="60"/>
      <c r="F588" s="402" t="s">
        <v>553</v>
      </c>
      <c r="G588" s="252">
        <v>0.25</v>
      </c>
      <c r="H588" s="253">
        <f>D586-D586*25%</f>
        <v>6432865.1775000002</v>
      </c>
      <c r="I588" s="253"/>
      <c r="J588" s="253">
        <f>H588-D622</f>
        <v>-775026.30394999962</v>
      </c>
    </row>
    <row r="589" spans="1:10" ht="18.75" x14ac:dyDescent="0.2">
      <c r="A589" s="173">
        <v>4</v>
      </c>
      <c r="B589" s="21" t="s">
        <v>105</v>
      </c>
      <c r="C589" s="99"/>
      <c r="D589" s="72">
        <v>150000</v>
      </c>
      <c r="E589" s="60"/>
      <c r="F589" s="402" t="s">
        <v>553</v>
      </c>
      <c r="G589" s="252"/>
      <c r="H589" s="253"/>
      <c r="I589" s="253"/>
      <c r="J589" s="253"/>
    </row>
    <row r="590" spans="1:10" ht="18.75" x14ac:dyDescent="0.2">
      <c r="A590" s="98">
        <v>5</v>
      </c>
      <c r="B590" s="21" t="s">
        <v>107</v>
      </c>
      <c r="C590" s="99"/>
      <c r="D590" s="72">
        <v>240000</v>
      </c>
      <c r="E590" s="60"/>
      <c r="F590" s="178" t="s">
        <v>554</v>
      </c>
      <c r="G590" s="252"/>
      <c r="H590" s="253"/>
      <c r="I590" s="253"/>
      <c r="J590" s="253"/>
    </row>
    <row r="591" spans="1:10" ht="47.25" x14ac:dyDescent="0.2">
      <c r="A591" s="403">
        <v>6</v>
      </c>
      <c r="B591" s="404" t="s">
        <v>109</v>
      </c>
      <c r="C591" s="405"/>
      <c r="D591" s="406">
        <v>700000</v>
      </c>
      <c r="E591" s="407"/>
      <c r="F591" s="408" t="s">
        <v>555</v>
      </c>
      <c r="H591" s="180"/>
      <c r="I591" s="180"/>
    </row>
    <row r="592" spans="1:10" x14ac:dyDescent="0.2">
      <c r="A592" s="409">
        <v>7</v>
      </c>
      <c r="B592" s="410" t="s">
        <v>556</v>
      </c>
      <c r="C592" s="411"/>
      <c r="D592" s="412">
        <v>250000</v>
      </c>
      <c r="E592" s="413"/>
      <c r="F592" s="1095" t="s">
        <v>557</v>
      </c>
      <c r="H592" s="180"/>
      <c r="I592" s="180"/>
    </row>
    <row r="593" spans="1:9" x14ac:dyDescent="0.2">
      <c r="A593" s="414">
        <v>8</v>
      </c>
      <c r="B593" s="410" t="s">
        <v>110</v>
      </c>
      <c r="C593" s="411"/>
      <c r="D593" s="412">
        <v>150000</v>
      </c>
      <c r="E593" s="415"/>
      <c r="F593" s="1096"/>
      <c r="H593" s="180"/>
      <c r="I593" s="180"/>
    </row>
    <row r="594" spans="1:9" x14ac:dyDescent="0.2">
      <c r="A594" s="414">
        <v>9</v>
      </c>
      <c r="B594" s="410" t="s">
        <v>112</v>
      </c>
      <c r="C594" s="411"/>
      <c r="D594" s="412">
        <v>300000</v>
      </c>
      <c r="E594" s="413"/>
      <c r="F594" s="1097"/>
      <c r="H594" s="180"/>
      <c r="I594" s="180"/>
    </row>
    <row r="595" spans="1:9" ht="31.5" x14ac:dyDescent="0.2">
      <c r="A595" s="173">
        <v>10</v>
      </c>
      <c r="B595" s="21" t="s">
        <v>114</v>
      </c>
      <c r="C595" s="99"/>
      <c r="D595" s="72">
        <v>300000</v>
      </c>
      <c r="E595" s="60"/>
      <c r="F595" s="178" t="s">
        <v>558</v>
      </c>
      <c r="H595" s="180"/>
      <c r="I595" s="180"/>
    </row>
    <row r="596" spans="1:9" ht="47.25" x14ac:dyDescent="0.2">
      <c r="A596" s="98">
        <v>11</v>
      </c>
      <c r="B596" s="21" t="s">
        <v>116</v>
      </c>
      <c r="C596" s="99"/>
      <c r="D596" s="72">
        <v>600000</v>
      </c>
      <c r="E596" s="60"/>
      <c r="F596" s="178" t="s">
        <v>559</v>
      </c>
      <c r="H596" s="180"/>
      <c r="I596" s="180"/>
    </row>
    <row r="597" spans="1:9" ht="37.5" x14ac:dyDescent="0.2">
      <c r="A597" s="414">
        <v>12</v>
      </c>
      <c r="B597" s="359" t="s">
        <v>520</v>
      </c>
      <c r="C597" s="416">
        <v>0.5</v>
      </c>
      <c r="D597" s="417">
        <f>C597*D586</f>
        <v>4288576.7850000001</v>
      </c>
      <c r="E597" s="418"/>
      <c r="F597" s="419"/>
      <c r="H597" s="180"/>
      <c r="I597" s="180"/>
    </row>
    <row r="598" spans="1:9" x14ac:dyDescent="0.2">
      <c r="A598" s="409">
        <v>13</v>
      </c>
      <c r="B598" s="418" t="s">
        <v>560</v>
      </c>
      <c r="C598" s="420"/>
      <c r="D598" s="412"/>
      <c r="E598" s="410"/>
      <c r="F598" s="419"/>
      <c r="H598" s="180"/>
      <c r="I598" s="180"/>
    </row>
    <row r="599" spans="1:9" x14ac:dyDescent="0.2">
      <c r="A599" s="414">
        <v>14</v>
      </c>
      <c r="B599" s="418" t="s">
        <v>561</v>
      </c>
      <c r="C599" s="421">
        <v>7.0000000000000007E-2</v>
      </c>
      <c r="D599" s="412">
        <f>D597*C599</f>
        <v>300200.37495000003</v>
      </c>
      <c r="E599" s="413"/>
      <c r="F599" s="419" t="s">
        <v>562</v>
      </c>
      <c r="H599" s="180"/>
      <c r="I599" s="180"/>
    </row>
    <row r="600" spans="1:9" x14ac:dyDescent="0.2">
      <c r="A600" s="414">
        <v>15</v>
      </c>
      <c r="B600" s="418" t="s">
        <v>563</v>
      </c>
      <c r="C600" s="421">
        <v>0.05</v>
      </c>
      <c r="D600" s="412">
        <f>D597*C600</f>
        <v>214428.83925000002</v>
      </c>
      <c r="E600" s="413"/>
      <c r="F600" s="419" t="s">
        <v>562</v>
      </c>
      <c r="H600" s="180"/>
      <c r="I600" s="180"/>
    </row>
    <row r="601" spans="1:9" x14ac:dyDescent="0.2">
      <c r="A601" s="409">
        <v>16</v>
      </c>
      <c r="B601" s="418" t="s">
        <v>564</v>
      </c>
      <c r="C601" s="421">
        <v>0.05</v>
      </c>
      <c r="D601" s="412">
        <f>D597*C601</f>
        <v>214428.83925000002</v>
      </c>
      <c r="E601" s="413"/>
      <c r="F601" s="419" t="s">
        <v>562</v>
      </c>
      <c r="H601" s="180"/>
      <c r="I601" s="180"/>
    </row>
    <row r="602" spans="1:9" ht="18.75" x14ac:dyDescent="0.2">
      <c r="A602" s="414">
        <v>17</v>
      </c>
      <c r="B602" s="359" t="s">
        <v>565</v>
      </c>
      <c r="C602" s="421"/>
      <c r="D602" s="412"/>
      <c r="E602" s="413"/>
      <c r="F602" s="419"/>
      <c r="H602" s="180"/>
      <c r="I602" s="180"/>
    </row>
    <row r="603" spans="1:9" x14ac:dyDescent="0.2">
      <c r="A603" s="414">
        <v>18</v>
      </c>
      <c r="B603" s="418" t="s">
        <v>566</v>
      </c>
      <c r="C603" s="420">
        <v>0.08</v>
      </c>
      <c r="D603" s="412">
        <f>D597*C603</f>
        <v>343086.14280000003</v>
      </c>
      <c r="E603" s="410"/>
      <c r="F603" s="419"/>
      <c r="H603" s="180"/>
      <c r="I603" s="180"/>
    </row>
    <row r="604" spans="1:9" x14ac:dyDescent="0.2">
      <c r="A604" s="409">
        <v>19</v>
      </c>
      <c r="B604" s="418" t="s">
        <v>356</v>
      </c>
      <c r="C604" s="420">
        <v>0.04</v>
      </c>
      <c r="D604" s="412">
        <f>C604*D597</f>
        <v>171543.07140000002</v>
      </c>
      <c r="E604" s="410"/>
      <c r="F604" s="419"/>
      <c r="H604" s="180"/>
      <c r="I604" s="180"/>
    </row>
    <row r="605" spans="1:9" x14ac:dyDescent="0.2">
      <c r="A605" s="414">
        <v>21</v>
      </c>
      <c r="B605" s="418" t="s">
        <v>121</v>
      </c>
      <c r="C605" s="416">
        <v>0.04</v>
      </c>
      <c r="D605" s="417">
        <f>D597*C605</f>
        <v>171543.07140000002</v>
      </c>
      <c r="E605" s="418"/>
      <c r="F605" s="419"/>
      <c r="H605" s="180"/>
      <c r="I605" s="180"/>
    </row>
    <row r="606" spans="1:9" x14ac:dyDescent="0.2">
      <c r="A606" s="409">
        <v>22</v>
      </c>
      <c r="B606" s="418" t="s">
        <v>122</v>
      </c>
      <c r="C606" s="416">
        <v>0.08</v>
      </c>
      <c r="D606" s="417">
        <f>C606*D597</f>
        <v>343086.14280000003</v>
      </c>
      <c r="E606" s="422"/>
      <c r="F606" s="419" t="s">
        <v>562</v>
      </c>
      <c r="H606" s="180"/>
      <c r="I606" s="180"/>
    </row>
    <row r="607" spans="1:9" ht="31.5" x14ac:dyDescent="0.2">
      <c r="A607" s="414">
        <v>23</v>
      </c>
      <c r="B607" s="418" t="s">
        <v>75</v>
      </c>
      <c r="C607" s="416">
        <v>0.08</v>
      </c>
      <c r="D607" s="417">
        <f>C607*D597</f>
        <v>343086.14280000003</v>
      </c>
      <c r="E607" s="422"/>
      <c r="F607" s="419" t="s">
        <v>562</v>
      </c>
      <c r="H607" s="180"/>
      <c r="I607" s="180"/>
    </row>
    <row r="608" spans="1:9" ht="94.5" x14ac:dyDescent="0.2">
      <c r="A608" s="414">
        <v>24</v>
      </c>
      <c r="B608" s="418" t="s">
        <v>567</v>
      </c>
      <c r="C608" s="416">
        <v>0.04</v>
      </c>
      <c r="D608" s="417">
        <f>C608*D597</f>
        <v>171543.07140000002</v>
      </c>
      <c r="E608" s="423"/>
      <c r="F608" s="419"/>
      <c r="H608" s="180"/>
      <c r="I608" s="180"/>
    </row>
    <row r="609" spans="1:9" ht="94.5" x14ac:dyDescent="0.2">
      <c r="A609" s="409">
        <v>25</v>
      </c>
      <c r="B609" s="418" t="s">
        <v>568</v>
      </c>
      <c r="C609" s="416">
        <v>0.02</v>
      </c>
      <c r="D609" s="417">
        <f>C609*D597</f>
        <v>85771.535700000008</v>
      </c>
      <c r="E609" s="418"/>
      <c r="F609" s="419"/>
      <c r="H609" s="180"/>
      <c r="I609" s="180"/>
    </row>
    <row r="610" spans="1:9" ht="78.75" x14ac:dyDescent="0.2">
      <c r="A610" s="414">
        <v>26</v>
      </c>
      <c r="B610" s="418" t="s">
        <v>127</v>
      </c>
      <c r="C610" s="416">
        <v>0.02</v>
      </c>
      <c r="D610" s="417">
        <f>C610*D597</f>
        <v>85771.535700000008</v>
      </c>
      <c r="E610" s="418"/>
      <c r="F610" s="419"/>
      <c r="H610" s="180"/>
      <c r="I610" s="180"/>
    </row>
    <row r="611" spans="1:9" ht="110.25" x14ac:dyDescent="0.2">
      <c r="A611" s="414">
        <v>27</v>
      </c>
      <c r="B611" s="418" t="s">
        <v>83</v>
      </c>
      <c r="C611" s="416">
        <v>0.04</v>
      </c>
      <c r="D611" s="417">
        <f>C611*D597</f>
        <v>171543.07140000002</v>
      </c>
      <c r="E611" s="424"/>
      <c r="F611" s="419"/>
      <c r="H611" s="180"/>
      <c r="I611" s="180"/>
    </row>
    <row r="612" spans="1:9" ht="78.75" x14ac:dyDescent="0.2">
      <c r="A612" s="409">
        <v>28</v>
      </c>
      <c r="B612" s="418" t="s">
        <v>85</v>
      </c>
      <c r="C612" s="416">
        <v>0.04</v>
      </c>
      <c r="D612" s="417">
        <f>C612*D597</f>
        <v>171543.07140000002</v>
      </c>
      <c r="E612" s="422"/>
      <c r="F612" s="419"/>
      <c r="H612" s="180"/>
      <c r="I612" s="180"/>
    </row>
    <row r="613" spans="1:9" ht="31.5" x14ac:dyDescent="0.2">
      <c r="A613" s="414">
        <v>29</v>
      </c>
      <c r="B613" s="418" t="s">
        <v>87</v>
      </c>
      <c r="C613" s="416">
        <v>0.04</v>
      </c>
      <c r="D613" s="417">
        <f>C613*D597</f>
        <v>171543.07140000002</v>
      </c>
      <c r="E613" s="418"/>
      <c r="F613" s="419"/>
      <c r="H613" s="180"/>
      <c r="I613" s="180"/>
    </row>
    <row r="614" spans="1:9" ht="31.5" x14ac:dyDescent="0.2">
      <c r="A614" s="414">
        <v>30</v>
      </c>
      <c r="B614" s="418" t="s">
        <v>128</v>
      </c>
      <c r="C614" s="416">
        <v>0.04</v>
      </c>
      <c r="D614" s="417">
        <f>C614*D597</f>
        <v>171543.07140000002</v>
      </c>
      <c r="E614" s="422"/>
      <c r="F614" s="419"/>
      <c r="H614" s="180"/>
      <c r="I614" s="180"/>
    </row>
    <row r="615" spans="1:9" ht="31.5" x14ac:dyDescent="0.2">
      <c r="A615" s="409">
        <v>31</v>
      </c>
      <c r="B615" s="418" t="s">
        <v>91</v>
      </c>
      <c r="C615" s="416">
        <v>0.03</v>
      </c>
      <c r="D615" s="417">
        <f>C615*D597</f>
        <v>128657.30355</v>
      </c>
      <c r="E615" s="422"/>
      <c r="F615" s="419"/>
      <c r="H615" s="180"/>
      <c r="I615" s="180"/>
    </row>
    <row r="616" spans="1:9" ht="47.25" x14ac:dyDescent="0.2">
      <c r="A616" s="414">
        <v>32</v>
      </c>
      <c r="B616" s="418" t="s">
        <v>93</v>
      </c>
      <c r="C616" s="416">
        <v>0.04</v>
      </c>
      <c r="D616" s="417">
        <f>C616*D597</f>
        <v>171543.07140000002</v>
      </c>
      <c r="E616" s="422"/>
      <c r="F616" s="419"/>
      <c r="H616" s="180"/>
      <c r="I616" s="180"/>
    </row>
    <row r="617" spans="1:9" ht="63" x14ac:dyDescent="0.2">
      <c r="A617" s="414">
        <v>33</v>
      </c>
      <c r="B617" s="425" t="s">
        <v>95</v>
      </c>
      <c r="C617" s="426">
        <v>0.02</v>
      </c>
      <c r="D617" s="417">
        <f>C617*D597</f>
        <v>85771.535700000008</v>
      </c>
      <c r="E617" s="427"/>
      <c r="F617" s="419"/>
      <c r="H617" s="180"/>
      <c r="I617" s="180"/>
    </row>
    <row r="618" spans="1:9" ht="47.25" x14ac:dyDescent="0.2">
      <c r="A618" s="409">
        <v>34</v>
      </c>
      <c r="B618" s="418" t="s">
        <v>97</v>
      </c>
      <c r="C618" s="416">
        <v>1.4999999999999999E-2</v>
      </c>
      <c r="D618" s="417">
        <f>C618*D597</f>
        <v>64328.651774999998</v>
      </c>
      <c r="E618" s="418"/>
      <c r="F618" s="419"/>
      <c r="H618" s="180"/>
      <c r="I618" s="180"/>
    </row>
    <row r="619" spans="1:9" ht="63" x14ac:dyDescent="0.2">
      <c r="A619" s="414">
        <v>35</v>
      </c>
      <c r="B619" s="418" t="s">
        <v>98</v>
      </c>
      <c r="C619" s="416">
        <v>0.06</v>
      </c>
      <c r="D619" s="417">
        <f>C619*D597</f>
        <v>257314.60709999999</v>
      </c>
      <c r="E619" s="422"/>
      <c r="F619" s="419" t="s">
        <v>562</v>
      </c>
      <c r="H619" s="180"/>
      <c r="I619" s="180"/>
    </row>
    <row r="620" spans="1:9" ht="31.5" x14ac:dyDescent="0.2">
      <c r="A620" s="98">
        <v>36</v>
      </c>
      <c r="B620" s="107" t="s">
        <v>100</v>
      </c>
      <c r="C620" s="112">
        <v>3.5000000000000003E-2</v>
      </c>
      <c r="D620" s="72">
        <f>C620*D597</f>
        <v>150100.18747500001</v>
      </c>
      <c r="E620" s="109"/>
      <c r="F620" s="178"/>
      <c r="H620" s="180"/>
      <c r="I620" s="180"/>
    </row>
    <row r="621" spans="1:9" x14ac:dyDescent="0.2">
      <c r="A621" s="173">
        <v>37</v>
      </c>
      <c r="B621" s="107" t="s">
        <v>132</v>
      </c>
      <c r="C621" s="112">
        <v>0.04</v>
      </c>
      <c r="D621" s="72">
        <f>C621*D597</f>
        <v>171543.07140000002</v>
      </c>
      <c r="E621" s="109"/>
      <c r="F621" s="178"/>
      <c r="H621" s="180"/>
      <c r="I621" s="180"/>
    </row>
    <row r="622" spans="1:9" x14ac:dyDescent="0.2">
      <c r="A622" s="173"/>
      <c r="B622" s="185" t="s">
        <v>374</v>
      </c>
      <c r="C622" s="186"/>
      <c r="D622" s="213">
        <f>SUM(D587:D591)+SUM(D595:D596)+SUM(D599:D621)</f>
        <v>7207891.4814499998</v>
      </c>
      <c r="E622" s="187"/>
      <c r="F622" s="177"/>
      <c r="H622" s="180"/>
      <c r="I622" s="180"/>
    </row>
    <row r="623" spans="1:9" ht="31.5" x14ac:dyDescent="0.2">
      <c r="A623" s="173"/>
      <c r="B623" s="188" t="s">
        <v>275</v>
      </c>
      <c r="C623" s="186"/>
      <c r="D623" s="178"/>
      <c r="E623" s="187"/>
      <c r="F623" s="177"/>
      <c r="H623" s="180"/>
      <c r="I623" s="180"/>
    </row>
    <row r="624" spans="1:9" ht="31.5" x14ac:dyDescent="0.2">
      <c r="A624" s="428"/>
      <c r="B624" s="429" t="s">
        <v>375</v>
      </c>
      <c r="C624" s="430"/>
      <c r="D624" s="431"/>
      <c r="E624" s="432"/>
      <c r="F624" s="433"/>
      <c r="H624" s="180"/>
      <c r="I624" s="180"/>
    </row>
    <row r="625" spans="1:9" x14ac:dyDescent="0.2">
      <c r="A625" s="434"/>
      <c r="B625" s="117"/>
      <c r="C625" s="166"/>
      <c r="D625" s="117"/>
      <c r="E625" s="117"/>
      <c r="F625" s="117"/>
      <c r="H625" s="180"/>
      <c r="I625" s="180"/>
    </row>
    <row r="626" spans="1:9" x14ac:dyDescent="0.2">
      <c r="A626" s="435"/>
      <c r="B626" s="117" t="s">
        <v>569</v>
      </c>
      <c r="C626" s="1079" t="s">
        <v>570</v>
      </c>
      <c r="D626" s="1080"/>
      <c r="E626" s="1080"/>
      <c r="F626" s="1081"/>
      <c r="H626" s="180"/>
      <c r="I626" s="180"/>
    </row>
    <row r="627" spans="1:9" ht="27" customHeight="1" x14ac:dyDescent="0.2">
      <c r="A627" s="267"/>
      <c r="B627" s="436" t="s">
        <v>403</v>
      </c>
      <c r="C627" s="437">
        <v>45848</v>
      </c>
      <c r="D627" s="438" t="s">
        <v>571</v>
      </c>
      <c r="E627" s="439"/>
      <c r="F627" s="439"/>
      <c r="H627" s="180"/>
      <c r="I627" s="180"/>
    </row>
    <row r="628" spans="1:9" ht="36.75" customHeight="1" x14ac:dyDescent="0.2">
      <c r="A628" s="267"/>
      <c r="B628" s="174" t="s">
        <v>541</v>
      </c>
      <c r="C628" s="994" t="s">
        <v>572</v>
      </c>
      <c r="D628" s="995"/>
      <c r="E628" s="995"/>
      <c r="F628" s="996"/>
      <c r="H628" s="180"/>
      <c r="I628" s="180"/>
    </row>
    <row r="629" spans="1:9" ht="38.25" customHeight="1" x14ac:dyDescent="0.2">
      <c r="A629" s="267"/>
      <c r="B629" s="174" t="s">
        <v>404</v>
      </c>
      <c r="C629" s="952" t="s">
        <v>543</v>
      </c>
      <c r="D629" s="953"/>
      <c r="E629" s="953"/>
      <c r="F629" s="954"/>
      <c r="H629" s="180"/>
      <c r="I629" s="180"/>
    </row>
    <row r="630" spans="1:9" ht="36.75" customHeight="1" x14ac:dyDescent="0.2">
      <c r="A630" s="267"/>
      <c r="B630" s="174" t="s">
        <v>406</v>
      </c>
      <c r="C630" s="952">
        <v>0</v>
      </c>
      <c r="D630" s="953"/>
      <c r="E630" s="953"/>
      <c r="F630" s="954"/>
      <c r="H630" s="180"/>
      <c r="I630" s="180"/>
    </row>
    <row r="631" spans="1:9" ht="33.75" customHeight="1" x14ac:dyDescent="0.2">
      <c r="A631" s="267"/>
      <c r="B631" s="174" t="s">
        <v>408</v>
      </c>
      <c r="C631" s="952"/>
      <c r="D631" s="953"/>
      <c r="E631" s="953"/>
      <c r="F631" s="954"/>
      <c r="H631" s="180"/>
      <c r="I631" s="180"/>
    </row>
    <row r="632" spans="1:9" ht="99.75" customHeight="1" x14ac:dyDescent="0.2">
      <c r="A632" s="267"/>
      <c r="B632" s="440" t="s">
        <v>546</v>
      </c>
      <c r="C632" s="966"/>
      <c r="D632" s="967"/>
      <c r="E632" s="967"/>
      <c r="F632" s="968"/>
      <c r="H632" s="180"/>
      <c r="I632" s="180"/>
    </row>
    <row r="633" spans="1:9" x14ac:dyDescent="0.2">
      <c r="A633" s="441"/>
      <c r="B633" s="1066" t="s">
        <v>548</v>
      </c>
      <c r="C633" s="1069"/>
      <c r="D633" s="1070"/>
      <c r="E633" s="1070"/>
      <c r="F633" s="1071"/>
      <c r="H633" s="180"/>
      <c r="I633" s="180"/>
    </row>
    <row r="634" spans="1:9" x14ac:dyDescent="0.2">
      <c r="A634" s="442"/>
      <c r="B634" s="1067"/>
      <c r="C634" s="1083"/>
      <c r="D634" s="1072"/>
      <c r="E634" s="1072"/>
      <c r="F634" s="1073"/>
      <c r="H634" s="180"/>
      <c r="I634" s="180"/>
    </row>
    <row r="635" spans="1:9" x14ac:dyDescent="0.2">
      <c r="A635" s="443"/>
      <c r="B635" s="1067"/>
      <c r="C635" s="1083"/>
      <c r="D635" s="1072"/>
      <c r="E635" s="1072"/>
      <c r="F635" s="1073"/>
      <c r="H635" s="180"/>
      <c r="I635" s="180"/>
    </row>
    <row r="636" spans="1:9" x14ac:dyDescent="0.2">
      <c r="A636" s="443"/>
      <c r="B636" s="1067"/>
      <c r="C636" s="1083"/>
      <c r="D636" s="1072"/>
      <c r="E636" s="1072"/>
      <c r="F636" s="1073"/>
      <c r="H636" s="180"/>
      <c r="I636" s="180"/>
    </row>
    <row r="637" spans="1:9" x14ac:dyDescent="0.2">
      <c r="A637" s="443"/>
      <c r="B637" s="1067"/>
      <c r="C637" s="1083"/>
      <c r="D637" s="1072"/>
      <c r="E637" s="1072"/>
      <c r="F637" s="1073"/>
      <c r="H637" s="180"/>
      <c r="I637" s="180"/>
    </row>
    <row r="638" spans="1:9" x14ac:dyDescent="0.2">
      <c r="A638" s="443"/>
      <c r="B638" s="1067"/>
      <c r="C638" s="1083"/>
      <c r="D638" s="1072"/>
      <c r="E638" s="1072"/>
      <c r="F638" s="1073"/>
      <c r="H638" s="180"/>
      <c r="I638" s="180"/>
    </row>
    <row r="639" spans="1:9" x14ac:dyDescent="0.2">
      <c r="A639" s="443"/>
      <c r="B639" s="1067"/>
      <c r="C639" s="1083"/>
      <c r="D639" s="1072"/>
      <c r="E639" s="1072"/>
      <c r="F639" s="1073"/>
      <c r="H639" s="180"/>
      <c r="I639" s="180"/>
    </row>
    <row r="640" spans="1:9" x14ac:dyDescent="0.2">
      <c r="A640" s="443"/>
      <c r="B640" s="1067"/>
      <c r="C640" s="1083"/>
      <c r="D640" s="1072"/>
      <c r="E640" s="1072"/>
      <c r="F640" s="1073"/>
      <c r="H640" s="180"/>
      <c r="I640" s="180"/>
    </row>
    <row r="641" spans="1:10" x14ac:dyDescent="0.2">
      <c r="A641" s="444"/>
      <c r="B641" s="1082"/>
      <c r="C641" s="1084"/>
      <c r="D641" s="1085"/>
      <c r="E641" s="1085"/>
      <c r="F641" s="1086"/>
      <c r="H641" s="180"/>
      <c r="I641" s="180"/>
    </row>
    <row r="642" spans="1:10" ht="20.25" x14ac:dyDescent="0.2">
      <c r="A642" s="807" t="s">
        <v>347</v>
      </c>
      <c r="B642" s="808"/>
      <c r="C642" s="808"/>
      <c r="D642" s="808"/>
      <c r="E642" s="808"/>
      <c r="F642" s="809"/>
      <c r="G642" s="250" t="s">
        <v>348</v>
      </c>
      <c r="H642" s="251" t="s">
        <v>349</v>
      </c>
      <c r="I642" s="251"/>
      <c r="J642" s="251" t="s">
        <v>350</v>
      </c>
    </row>
    <row r="643" spans="1:10" ht="45" customHeight="1" x14ac:dyDescent="0.2">
      <c r="A643" s="804" t="s">
        <v>351</v>
      </c>
      <c r="B643" s="805"/>
      <c r="C643" s="805"/>
      <c r="D643" s="805"/>
      <c r="E643" s="805"/>
      <c r="F643" s="806"/>
      <c r="G643" s="252">
        <v>0.1</v>
      </c>
      <c r="H643" s="253">
        <f>D644-D644*G643</f>
        <v>4896000</v>
      </c>
      <c r="I643" s="253"/>
      <c r="J643" s="253">
        <f>H643-D665</f>
        <v>2488800</v>
      </c>
    </row>
    <row r="644" spans="1:10" ht="18.75" x14ac:dyDescent="0.2">
      <c r="A644" s="173">
        <v>1</v>
      </c>
      <c r="B644" s="254" t="s">
        <v>352</v>
      </c>
      <c r="C644" s="175"/>
      <c r="D644" s="798">
        <v>5440000</v>
      </c>
      <c r="E644" s="799"/>
      <c r="F644" s="800"/>
      <c r="G644" s="252">
        <v>0.15</v>
      </c>
      <c r="H644" s="253">
        <f>D644-D644*G644</f>
        <v>4624000</v>
      </c>
      <c r="I644" s="253"/>
      <c r="J644" s="253">
        <f>H644-D665</f>
        <v>2216800</v>
      </c>
    </row>
    <row r="645" spans="1:10" ht="18.75" x14ac:dyDescent="0.2">
      <c r="A645" s="173">
        <v>2</v>
      </c>
      <c r="B645" s="254" t="s">
        <v>264</v>
      </c>
      <c r="C645" s="255"/>
      <c r="D645" s="256">
        <v>0</v>
      </c>
      <c r="E645" s="177"/>
      <c r="F645" s="178"/>
      <c r="G645" s="252">
        <v>0.2</v>
      </c>
      <c r="H645" s="253">
        <f>D644-D644*G645</f>
        <v>4352000</v>
      </c>
      <c r="I645" s="253"/>
      <c r="J645" s="253">
        <f>H645-D665</f>
        <v>1944800</v>
      </c>
    </row>
    <row r="646" spans="1:10" ht="18.75" x14ac:dyDescent="0.2">
      <c r="A646" s="173">
        <v>3</v>
      </c>
      <c r="B646" s="254" t="s">
        <v>353</v>
      </c>
      <c r="C646" s="255"/>
      <c r="D646" s="256">
        <v>150000</v>
      </c>
      <c r="E646" s="176"/>
      <c r="F646" s="178"/>
      <c r="G646" s="252">
        <v>0.25</v>
      </c>
      <c r="H646" s="253">
        <f>D644-D644*G646</f>
        <v>4080000</v>
      </c>
      <c r="I646" s="253"/>
      <c r="J646" s="253">
        <f>H646-D665</f>
        <v>1672800</v>
      </c>
    </row>
    <row r="647" spans="1:10" ht="43.5" x14ac:dyDescent="0.2">
      <c r="A647" s="173">
        <v>4</v>
      </c>
      <c r="B647" s="257" t="s">
        <v>354</v>
      </c>
      <c r="C647" s="258">
        <v>0.5</v>
      </c>
      <c r="D647" s="259">
        <f>D644*C647</f>
        <v>2720000</v>
      </c>
      <c r="E647" s="177"/>
      <c r="F647" s="178"/>
      <c r="G647" s="252"/>
      <c r="H647" s="253"/>
      <c r="I647" s="253"/>
      <c r="J647" s="253"/>
    </row>
    <row r="648" spans="1:10" x14ac:dyDescent="0.2">
      <c r="A648" s="173"/>
      <c r="B648" s="260" t="s">
        <v>355</v>
      </c>
      <c r="C648" s="258">
        <v>7.0000000000000007E-2</v>
      </c>
      <c r="D648" s="261">
        <f>C648*D647</f>
        <v>190400.00000000003</v>
      </c>
      <c r="E648" s="177"/>
      <c r="F648" s="178"/>
    </row>
    <row r="649" spans="1:10" x14ac:dyDescent="0.2">
      <c r="A649" s="173"/>
      <c r="B649" s="260" t="s">
        <v>356</v>
      </c>
      <c r="C649" s="258">
        <v>0.04</v>
      </c>
      <c r="D649" s="261">
        <f>D647*C649</f>
        <v>108800</v>
      </c>
      <c r="E649" s="178"/>
      <c r="F649" s="178"/>
    </row>
    <row r="650" spans="1:10" x14ac:dyDescent="0.2">
      <c r="A650" s="173">
        <v>5</v>
      </c>
      <c r="B650" s="260" t="s">
        <v>357</v>
      </c>
      <c r="C650" s="258">
        <v>7.0000000000000007E-2</v>
      </c>
      <c r="D650" s="261">
        <f>D647*C650</f>
        <v>190400.00000000003</v>
      </c>
      <c r="E650" s="177"/>
      <c r="F650" s="178"/>
    </row>
    <row r="651" spans="1:10" x14ac:dyDescent="0.2">
      <c r="A651" s="173">
        <v>6</v>
      </c>
      <c r="B651" s="260" t="s">
        <v>358</v>
      </c>
      <c r="C651" s="258">
        <v>0.05</v>
      </c>
      <c r="D651" s="261">
        <f>C651*D647</f>
        <v>136000</v>
      </c>
      <c r="E651" s="177"/>
      <c r="F651" s="178"/>
    </row>
    <row r="652" spans="1:10" x14ac:dyDescent="0.2">
      <c r="A652" s="173">
        <v>7</v>
      </c>
      <c r="B652" s="260" t="s">
        <v>290</v>
      </c>
      <c r="C652" s="258">
        <v>0.05</v>
      </c>
      <c r="D652" s="261">
        <f>C652*D647</f>
        <v>136000</v>
      </c>
      <c r="E652" s="177"/>
      <c r="F652" s="178" t="s">
        <v>359</v>
      </c>
    </row>
    <row r="653" spans="1:10" x14ac:dyDescent="0.2">
      <c r="A653" s="173">
        <v>8</v>
      </c>
      <c r="B653" s="260" t="s">
        <v>360</v>
      </c>
      <c r="C653" s="258">
        <v>7.0000000000000007E-2</v>
      </c>
      <c r="D653" s="261">
        <f>C653*D647</f>
        <v>190400.00000000003</v>
      </c>
      <c r="E653" s="177"/>
      <c r="F653" s="178" t="s">
        <v>359</v>
      </c>
    </row>
    <row r="654" spans="1:10" x14ac:dyDescent="0.2">
      <c r="A654" s="173">
        <v>9</v>
      </c>
      <c r="B654" s="260" t="s">
        <v>361</v>
      </c>
      <c r="C654" s="258">
        <v>0.1</v>
      </c>
      <c r="D654" s="261">
        <f>C654*D647</f>
        <v>272000</v>
      </c>
      <c r="E654" s="177"/>
      <c r="F654" s="178" t="s">
        <v>362</v>
      </c>
    </row>
    <row r="655" spans="1:10" x14ac:dyDescent="0.2">
      <c r="A655" s="173">
        <v>10</v>
      </c>
      <c r="B655" s="260" t="s">
        <v>364</v>
      </c>
      <c r="C655" s="258">
        <v>0.04</v>
      </c>
      <c r="D655" s="261">
        <f>C655*D647</f>
        <v>108800</v>
      </c>
      <c r="E655" s="177"/>
      <c r="F655" s="178" t="s">
        <v>365</v>
      </c>
    </row>
    <row r="656" spans="1:10" x14ac:dyDescent="0.2">
      <c r="A656" s="173">
        <v>11</v>
      </c>
      <c r="B656" s="254" t="s">
        <v>366</v>
      </c>
      <c r="C656" s="263">
        <v>0.06</v>
      </c>
      <c r="D656" s="256">
        <f>D647*C656</f>
        <v>163200</v>
      </c>
      <c r="E656" s="176"/>
      <c r="F656" s="178" t="s">
        <v>573</v>
      </c>
    </row>
    <row r="657" spans="1:10" x14ac:dyDescent="0.2">
      <c r="A657" s="173">
        <v>12</v>
      </c>
      <c r="B657" s="254" t="s">
        <v>368</v>
      </c>
      <c r="C657" s="263">
        <v>0.04</v>
      </c>
      <c r="D657" s="256">
        <f>D647*C657</f>
        <v>108800</v>
      </c>
      <c r="E657" s="177"/>
      <c r="F657" s="178" t="s">
        <v>367</v>
      </c>
    </row>
    <row r="658" spans="1:10" x14ac:dyDescent="0.2">
      <c r="A658" s="173">
        <v>13</v>
      </c>
      <c r="B658" s="254" t="s">
        <v>369</v>
      </c>
      <c r="C658" s="263">
        <v>0.05</v>
      </c>
      <c r="D658" s="256">
        <f>C658*D647</f>
        <v>136000</v>
      </c>
      <c r="E658" s="177"/>
      <c r="F658" s="178" t="s">
        <v>370</v>
      </c>
    </row>
    <row r="659" spans="1:10" x14ac:dyDescent="0.2">
      <c r="A659" s="173">
        <v>14</v>
      </c>
      <c r="B659" s="254" t="s">
        <v>260</v>
      </c>
      <c r="C659" s="263">
        <v>3.5000000000000003E-2</v>
      </c>
      <c r="D659" s="256">
        <f>C659*D647</f>
        <v>95200.000000000015</v>
      </c>
      <c r="E659" s="177"/>
      <c r="F659" s="178" t="s">
        <v>371</v>
      </c>
    </row>
    <row r="660" spans="1:10" x14ac:dyDescent="0.2">
      <c r="A660" s="173">
        <v>15</v>
      </c>
      <c r="B660" s="254" t="s">
        <v>272</v>
      </c>
      <c r="C660" s="263">
        <v>3.5000000000000003E-2</v>
      </c>
      <c r="D660" s="256">
        <f>C660*D647</f>
        <v>95200.000000000015</v>
      </c>
      <c r="E660" s="177"/>
      <c r="F660" s="178"/>
    </row>
    <row r="661" spans="1:10" x14ac:dyDescent="0.2">
      <c r="A661" s="173">
        <v>16</v>
      </c>
      <c r="B661" s="254" t="s">
        <v>273</v>
      </c>
      <c r="C661" s="263">
        <v>2.5000000000000001E-2</v>
      </c>
      <c r="D661" s="256">
        <f>C661*D647</f>
        <v>68000</v>
      </c>
      <c r="E661" s="176"/>
      <c r="F661" s="178" t="s">
        <v>372</v>
      </c>
    </row>
    <row r="662" spans="1:10" x14ac:dyDescent="0.2">
      <c r="A662" s="173">
        <v>17</v>
      </c>
      <c r="B662" s="254" t="s">
        <v>261</v>
      </c>
      <c r="C662" s="263">
        <v>0.04</v>
      </c>
      <c r="D662" s="256">
        <f>C662*D647</f>
        <v>108800</v>
      </c>
      <c r="E662" s="177"/>
      <c r="F662" s="178" t="s">
        <v>373</v>
      </c>
    </row>
    <row r="663" spans="1:10" x14ac:dyDescent="0.2">
      <c r="A663" s="173">
        <v>18</v>
      </c>
      <c r="B663" s="254" t="s">
        <v>205</v>
      </c>
      <c r="C663" s="263">
        <v>0.06</v>
      </c>
      <c r="D663" s="256">
        <f>C663*D647</f>
        <v>163200</v>
      </c>
      <c r="E663" s="176"/>
      <c r="F663" s="178" t="s">
        <v>359</v>
      </c>
    </row>
    <row r="664" spans="1:10" ht="30" x14ac:dyDescent="0.2">
      <c r="A664" s="173"/>
      <c r="B664" s="254" t="s">
        <v>100</v>
      </c>
      <c r="C664" s="263">
        <v>0.05</v>
      </c>
      <c r="D664" s="256">
        <f>C664*D647</f>
        <v>136000</v>
      </c>
      <c r="E664" s="187"/>
      <c r="F664" s="177"/>
    </row>
    <row r="665" spans="1:10" x14ac:dyDescent="0.2">
      <c r="A665" s="173"/>
      <c r="B665" s="264" t="s">
        <v>374</v>
      </c>
      <c r="C665" s="265">
        <f>SUM(C648:C664)</f>
        <v>0.88500000000000023</v>
      </c>
      <c r="D665" s="266">
        <f>SUM(D648:D664)</f>
        <v>2407200</v>
      </c>
      <c r="E665" s="187"/>
      <c r="F665" s="177"/>
    </row>
    <row r="666" spans="1:10" x14ac:dyDescent="0.2">
      <c r="A666" s="173"/>
      <c r="B666" s="264" t="s">
        <v>132</v>
      </c>
      <c r="C666" s="265">
        <v>0.1</v>
      </c>
      <c r="D666" s="256">
        <f>C666*D647</f>
        <v>272000</v>
      </c>
      <c r="E666" s="187"/>
      <c r="F666" s="177"/>
    </row>
    <row r="667" spans="1:10" ht="28.5" x14ac:dyDescent="0.2">
      <c r="A667" s="267"/>
      <c r="B667" s="264" t="s">
        <v>275</v>
      </c>
      <c r="C667" s="265">
        <f>D667/D644</f>
        <v>0.47992647058823529</v>
      </c>
      <c r="D667" s="256">
        <f>D644-D665-D666-D645-D646</f>
        <v>2610800</v>
      </c>
      <c r="E667" s="177"/>
      <c r="F667" s="177"/>
    </row>
    <row r="668" spans="1:10" ht="28.5" x14ac:dyDescent="0.2">
      <c r="A668" s="267"/>
      <c r="B668" s="264" t="s">
        <v>375</v>
      </c>
      <c r="C668" s="268">
        <f>D668/D644</f>
        <v>0.52992647058823528</v>
      </c>
      <c r="D668" s="269">
        <f>D667+D666</f>
        <v>2882800</v>
      </c>
      <c r="E668" s="177"/>
      <c r="F668" s="177"/>
    </row>
    <row r="669" spans="1:10" ht="38.25" customHeight="1" x14ac:dyDescent="0.2">
      <c r="A669" s="807" t="s">
        <v>347</v>
      </c>
      <c r="B669" s="808"/>
      <c r="C669" s="808"/>
      <c r="D669" s="808"/>
      <c r="E669" s="808"/>
      <c r="F669" s="809"/>
      <c r="G669" s="250" t="s">
        <v>348</v>
      </c>
      <c r="H669" s="251" t="s">
        <v>349</v>
      </c>
      <c r="I669" s="251"/>
      <c r="J669" s="251" t="s">
        <v>350</v>
      </c>
    </row>
    <row r="670" spans="1:10" ht="61.5" customHeight="1" x14ac:dyDescent="0.2">
      <c r="A670" s="804" t="s">
        <v>574</v>
      </c>
      <c r="B670" s="805"/>
      <c r="C670" s="805"/>
      <c r="D670" s="811"/>
      <c r="E670" s="811"/>
      <c r="F670" s="1077"/>
      <c r="G670" s="252">
        <v>0.1</v>
      </c>
      <c r="H670" s="253">
        <f>C671-C671*G670</f>
        <v>0</v>
      </c>
      <c r="I670" s="253"/>
      <c r="J670" s="253">
        <f>H670-C690</f>
        <v>0</v>
      </c>
    </row>
    <row r="671" spans="1:10" ht="18.75" x14ac:dyDescent="0.2">
      <c r="A671" s="173">
        <v>1</v>
      </c>
      <c r="B671" s="174" t="s">
        <v>7</v>
      </c>
      <c r="C671" s="445"/>
      <c r="D671" s="820"/>
      <c r="E671" s="821"/>
      <c r="F671" s="1078"/>
      <c r="G671" s="252">
        <v>0.15</v>
      </c>
      <c r="H671" s="253">
        <f>C671-C671*G671</f>
        <v>0</v>
      </c>
      <c r="I671" s="253"/>
      <c r="J671" s="253">
        <f>H671-C690</f>
        <v>0</v>
      </c>
    </row>
    <row r="672" spans="1:10" ht="18.75" x14ac:dyDescent="0.2">
      <c r="A672" s="173">
        <v>2</v>
      </c>
      <c r="B672" s="174" t="s">
        <v>532</v>
      </c>
      <c r="C672" s="175"/>
      <c r="D672" s="176"/>
      <c r="E672" s="177"/>
      <c r="F672" s="446"/>
      <c r="G672" s="252">
        <v>0.2</v>
      </c>
      <c r="H672" s="253">
        <f>C671-C671*G672</f>
        <v>0</v>
      </c>
      <c r="I672" s="253"/>
      <c r="J672" s="253">
        <f>H672-C690</f>
        <v>0</v>
      </c>
    </row>
    <row r="673" spans="1:10" ht="18.75" x14ac:dyDescent="0.2">
      <c r="A673" s="173">
        <v>3</v>
      </c>
      <c r="B673" s="174" t="s">
        <v>103</v>
      </c>
      <c r="C673" s="175"/>
      <c r="D673" s="176"/>
      <c r="E673" s="176"/>
      <c r="F673" s="446"/>
      <c r="G673" s="252">
        <v>0.25</v>
      </c>
      <c r="H673" s="253">
        <f>C671-C671*G673</f>
        <v>0</v>
      </c>
      <c r="I673" s="253"/>
      <c r="J673" s="253">
        <f>H673-C690</f>
        <v>0</v>
      </c>
    </row>
    <row r="674" spans="1:10" ht="31.5" x14ac:dyDescent="0.2">
      <c r="A674" s="173">
        <v>4</v>
      </c>
      <c r="B674" s="174" t="s">
        <v>533</v>
      </c>
      <c r="C674" s="175"/>
      <c r="D674" s="176"/>
      <c r="E674" s="177"/>
      <c r="F674" s="446"/>
      <c r="G674" s="252"/>
      <c r="H674" s="253"/>
      <c r="I674" s="253"/>
      <c r="J674" s="253"/>
    </row>
    <row r="675" spans="1:10" x14ac:dyDescent="0.2">
      <c r="A675" s="173"/>
      <c r="B675" s="174" t="s">
        <v>534</v>
      </c>
      <c r="C675" s="175"/>
      <c r="D675" s="176"/>
      <c r="E675" s="176"/>
      <c r="F675" s="178"/>
      <c r="H675" s="180"/>
      <c r="I675" s="180"/>
    </row>
    <row r="676" spans="1:10" ht="31.5" x14ac:dyDescent="0.2">
      <c r="A676" s="173">
        <v>5</v>
      </c>
      <c r="B676" s="174" t="s">
        <v>253</v>
      </c>
      <c r="C676" s="175"/>
      <c r="D676" s="176"/>
      <c r="E676" s="177"/>
      <c r="F676" s="178"/>
    </row>
    <row r="677" spans="1:10" x14ac:dyDescent="0.2">
      <c r="A677" s="173">
        <v>6</v>
      </c>
      <c r="B677" s="174" t="s">
        <v>26</v>
      </c>
      <c r="C677" s="175"/>
      <c r="D677" s="176"/>
      <c r="E677" s="177"/>
      <c r="F677" s="178"/>
    </row>
    <row r="678" spans="1:10" x14ac:dyDescent="0.2">
      <c r="A678" s="173">
        <v>7</v>
      </c>
      <c r="B678" s="174" t="s">
        <v>11</v>
      </c>
      <c r="C678" s="175"/>
      <c r="D678" s="176"/>
      <c r="E678" s="177"/>
      <c r="F678" s="178"/>
    </row>
    <row r="679" spans="1:10" ht="31.5" x14ac:dyDescent="0.2">
      <c r="A679" s="173">
        <v>8</v>
      </c>
      <c r="B679" s="174" t="s">
        <v>535</v>
      </c>
      <c r="C679" s="175"/>
      <c r="D679" s="176"/>
      <c r="E679" s="177"/>
      <c r="F679" s="178"/>
    </row>
    <row r="680" spans="1:10" x14ac:dyDescent="0.2">
      <c r="A680" s="173">
        <v>9</v>
      </c>
      <c r="B680" s="174" t="s">
        <v>20</v>
      </c>
      <c r="C680" s="175"/>
      <c r="D680" s="176"/>
      <c r="E680" s="177"/>
      <c r="F680" s="178"/>
    </row>
    <row r="681" spans="1:10" ht="47.25" x14ac:dyDescent="0.2">
      <c r="A681" s="173">
        <v>10</v>
      </c>
      <c r="B681" s="174" t="s">
        <v>536</v>
      </c>
      <c r="C681" s="175"/>
      <c r="D681" s="176"/>
      <c r="E681" s="177"/>
      <c r="F681" s="178"/>
    </row>
    <row r="682" spans="1:10" x14ac:dyDescent="0.2">
      <c r="A682" s="173">
        <v>11</v>
      </c>
      <c r="B682" s="174" t="s">
        <v>168</v>
      </c>
      <c r="C682" s="175"/>
      <c r="D682" s="176"/>
      <c r="E682" s="176"/>
      <c r="F682" s="178"/>
    </row>
    <row r="683" spans="1:10" x14ac:dyDescent="0.2">
      <c r="A683" s="173">
        <v>12</v>
      </c>
      <c r="B683" s="174" t="s">
        <v>537</v>
      </c>
      <c r="C683" s="175"/>
      <c r="D683" s="176"/>
      <c r="E683" s="177"/>
      <c r="F683" s="178"/>
    </row>
    <row r="684" spans="1:10" x14ac:dyDescent="0.2">
      <c r="A684" s="173">
        <v>13</v>
      </c>
      <c r="B684" s="174" t="s">
        <v>538</v>
      </c>
      <c r="C684" s="175"/>
      <c r="D684" s="176"/>
      <c r="E684" s="177"/>
      <c r="F684" s="178"/>
    </row>
    <row r="685" spans="1:10" x14ac:dyDescent="0.2">
      <c r="A685" s="173">
        <v>14</v>
      </c>
      <c r="B685" s="174" t="s">
        <v>539</v>
      </c>
      <c r="C685" s="175"/>
      <c r="D685" s="176"/>
      <c r="E685" s="177"/>
      <c r="F685" s="178"/>
    </row>
    <row r="686" spans="1:10" x14ac:dyDescent="0.2">
      <c r="A686" s="173">
        <v>15</v>
      </c>
      <c r="B686" s="174" t="s">
        <v>540</v>
      </c>
      <c r="C686" s="175"/>
      <c r="D686" s="176"/>
      <c r="E686" s="177"/>
      <c r="F686" s="178"/>
    </row>
    <row r="687" spans="1:10" x14ac:dyDescent="0.2">
      <c r="A687" s="173">
        <v>16</v>
      </c>
      <c r="B687" s="174" t="s">
        <v>205</v>
      </c>
      <c r="C687" s="175"/>
      <c r="D687" s="176"/>
      <c r="E687" s="176"/>
      <c r="F687" s="178"/>
    </row>
    <row r="688" spans="1:10" ht="31.5" x14ac:dyDescent="0.2">
      <c r="A688" s="173">
        <v>17</v>
      </c>
      <c r="B688" s="174" t="s">
        <v>100</v>
      </c>
      <c r="C688" s="175"/>
      <c r="D688" s="176"/>
      <c r="E688" s="177"/>
      <c r="F688" s="178"/>
    </row>
    <row r="689" spans="1:6" x14ac:dyDescent="0.2">
      <c r="A689" s="173">
        <v>18</v>
      </c>
      <c r="B689" s="174" t="s">
        <v>132</v>
      </c>
      <c r="C689" s="175"/>
      <c r="D689" s="176"/>
      <c r="E689" s="176"/>
      <c r="F689" s="178"/>
    </row>
    <row r="690" spans="1:6" x14ac:dyDescent="0.2">
      <c r="A690" s="173"/>
      <c r="B690" s="185" t="s">
        <v>374</v>
      </c>
      <c r="C690" s="186"/>
      <c r="D690" s="187"/>
      <c r="E690" s="187"/>
      <c r="F690" s="177"/>
    </row>
    <row r="691" spans="1:6" ht="31.5" x14ac:dyDescent="0.2">
      <c r="A691" s="173"/>
      <c r="B691" s="188" t="s">
        <v>275</v>
      </c>
      <c r="C691" s="186"/>
      <c r="D691" s="178"/>
      <c r="E691" s="187"/>
      <c r="F691" s="177"/>
    </row>
    <row r="692" spans="1:6" ht="31.5" x14ac:dyDescent="0.2">
      <c r="A692" s="447"/>
      <c r="B692" s="448" t="s">
        <v>375</v>
      </c>
      <c r="C692" s="449"/>
      <c r="D692" s="450"/>
      <c r="E692" s="451"/>
      <c r="F692" s="452"/>
    </row>
    <row r="693" spans="1:6" x14ac:dyDescent="0.2">
      <c r="A693" s="453"/>
      <c r="B693" s="117"/>
      <c r="C693" s="166"/>
      <c r="D693" s="117"/>
      <c r="E693" s="117"/>
      <c r="F693" s="117"/>
    </row>
    <row r="694" spans="1:6" x14ac:dyDescent="0.2">
      <c r="A694" s="454"/>
      <c r="B694" s="117" t="s">
        <v>569</v>
      </c>
      <c r="C694" s="1079" t="s">
        <v>575</v>
      </c>
      <c r="D694" s="1080"/>
      <c r="E694" s="1080"/>
      <c r="F694" s="1081"/>
    </row>
    <row r="695" spans="1:6" x14ac:dyDescent="0.2">
      <c r="A695" s="267"/>
      <c r="B695" s="455" t="s">
        <v>403</v>
      </c>
      <c r="C695" s="456">
        <v>45853</v>
      </c>
      <c r="D695" s="457" t="s">
        <v>576</v>
      </c>
      <c r="E695" s="458"/>
      <c r="F695" s="458"/>
    </row>
    <row r="696" spans="1:6" x14ac:dyDescent="0.2">
      <c r="A696" s="267"/>
      <c r="B696" s="174" t="s">
        <v>541</v>
      </c>
      <c r="C696" s="994"/>
      <c r="D696" s="995"/>
      <c r="E696" s="995"/>
      <c r="F696" s="996"/>
    </row>
    <row r="697" spans="1:6" ht="39.75" customHeight="1" x14ac:dyDescent="0.2">
      <c r="A697" s="267"/>
      <c r="B697" s="174" t="s">
        <v>404</v>
      </c>
      <c r="C697" s="952" t="s">
        <v>577</v>
      </c>
      <c r="D697" s="953"/>
      <c r="E697" s="953"/>
      <c r="F697" s="954"/>
    </row>
    <row r="698" spans="1:6" x14ac:dyDescent="0.2">
      <c r="A698" s="267"/>
      <c r="B698" s="174" t="s">
        <v>406</v>
      </c>
      <c r="C698" s="952">
        <v>0</v>
      </c>
      <c r="D698" s="953"/>
      <c r="E698" s="953"/>
      <c r="F698" s="954"/>
    </row>
    <row r="699" spans="1:6" x14ac:dyDescent="0.2">
      <c r="A699" s="267"/>
      <c r="B699" s="174" t="s">
        <v>408</v>
      </c>
      <c r="C699" s="952"/>
      <c r="D699" s="953"/>
      <c r="E699" s="953"/>
      <c r="F699" s="954"/>
    </row>
    <row r="700" spans="1:6" x14ac:dyDescent="0.2">
      <c r="A700" s="267"/>
      <c r="B700" s="459" t="s">
        <v>546</v>
      </c>
      <c r="C700" s="966"/>
      <c r="D700" s="967"/>
      <c r="E700" s="967"/>
      <c r="F700" s="968"/>
    </row>
    <row r="701" spans="1:6" x14ac:dyDescent="0.2">
      <c r="A701" s="460"/>
      <c r="B701" s="1066" t="s">
        <v>548</v>
      </c>
      <c r="C701" s="1069"/>
      <c r="D701" s="1070"/>
      <c r="E701" s="1070"/>
      <c r="F701" s="1071"/>
    </row>
    <row r="702" spans="1:6" x14ac:dyDescent="0.2">
      <c r="A702" s="461"/>
      <c r="B702" s="1067"/>
      <c r="C702" s="1072"/>
      <c r="D702" s="1072"/>
      <c r="E702" s="1072"/>
      <c r="F702" s="1073"/>
    </row>
    <row r="703" spans="1:6" x14ac:dyDescent="0.2">
      <c r="A703" s="462"/>
      <c r="B703" s="1067"/>
      <c r="C703" s="1072"/>
      <c r="D703" s="1072"/>
      <c r="E703" s="1072"/>
      <c r="F703" s="1073"/>
    </row>
    <row r="704" spans="1:6" x14ac:dyDescent="0.2">
      <c r="A704" s="462"/>
      <c r="B704" s="1067"/>
      <c r="C704" s="1072"/>
      <c r="D704" s="1072"/>
      <c r="E704" s="1072"/>
      <c r="F704" s="1073"/>
    </row>
    <row r="705" spans="1:6" x14ac:dyDescent="0.2">
      <c r="A705" s="462"/>
      <c r="B705" s="1067"/>
      <c r="C705" s="1072"/>
      <c r="D705" s="1072"/>
      <c r="E705" s="1072"/>
      <c r="F705" s="1073"/>
    </row>
    <row r="706" spans="1:6" x14ac:dyDescent="0.2">
      <c r="A706" s="462"/>
      <c r="B706" s="1067"/>
      <c r="C706" s="1072"/>
      <c r="D706" s="1072"/>
      <c r="E706" s="1072"/>
      <c r="F706" s="1073"/>
    </row>
    <row r="707" spans="1:6" x14ac:dyDescent="0.2">
      <c r="A707" s="462"/>
      <c r="B707" s="1067"/>
      <c r="C707" s="1072"/>
      <c r="D707" s="1072"/>
      <c r="E707" s="1072"/>
      <c r="F707" s="1073"/>
    </row>
    <row r="708" spans="1:6" x14ac:dyDescent="0.2">
      <c r="A708" s="462"/>
      <c r="B708" s="1067"/>
      <c r="C708" s="1072"/>
      <c r="D708" s="1072"/>
      <c r="E708" s="1072"/>
      <c r="F708" s="1073"/>
    </row>
    <row r="709" spans="1:6" x14ac:dyDescent="0.2">
      <c r="A709" s="462"/>
      <c r="B709" s="1068"/>
      <c r="C709" s="1074"/>
      <c r="D709" s="1075"/>
      <c r="E709" s="1075"/>
      <c r="F709" s="1076"/>
    </row>
    <row r="710" spans="1:6" ht="77.25" customHeight="1" x14ac:dyDescent="0.2">
      <c r="A710" s="802" t="s">
        <v>578</v>
      </c>
      <c r="B710" s="802"/>
      <c r="C710" s="802"/>
      <c r="D710" s="802"/>
      <c r="E710" s="802"/>
      <c r="F710" s="802"/>
    </row>
    <row r="711" spans="1:6" ht="18.75" x14ac:dyDescent="0.2">
      <c r="A711" s="223">
        <v>1</v>
      </c>
      <c r="B711" s="201" t="s">
        <v>7</v>
      </c>
      <c r="C711" s="175"/>
      <c r="D711" s="798">
        <v>770423.61</v>
      </c>
      <c r="E711" s="799"/>
      <c r="F711" s="800"/>
    </row>
    <row r="712" spans="1:6" ht="18.75" x14ac:dyDescent="0.2">
      <c r="A712" s="223">
        <v>2</v>
      </c>
      <c r="B712" s="201" t="s">
        <v>317</v>
      </c>
      <c r="C712" s="224"/>
      <c r="D712" s="176"/>
      <c r="E712" s="192"/>
      <c r="F712" s="192"/>
    </row>
    <row r="713" spans="1:6" ht="18.75" x14ac:dyDescent="0.2">
      <c r="A713" s="223">
        <v>3</v>
      </c>
      <c r="B713" s="201" t="s">
        <v>70</v>
      </c>
      <c r="C713" s="224"/>
      <c r="D713" s="176">
        <v>100000</v>
      </c>
      <c r="E713" s="177"/>
      <c r="F713" s="178" t="s">
        <v>377</v>
      </c>
    </row>
    <row r="714" spans="1:6" ht="18.75" x14ac:dyDescent="0.2">
      <c r="A714" s="223">
        <v>4</v>
      </c>
      <c r="B714" s="201" t="s">
        <v>356</v>
      </c>
      <c r="C714" s="224"/>
      <c r="D714" s="176">
        <v>50000</v>
      </c>
      <c r="E714" s="177"/>
      <c r="F714" s="178" t="s">
        <v>338</v>
      </c>
    </row>
    <row r="715" spans="1:6" ht="18.75" x14ac:dyDescent="0.2">
      <c r="A715" s="223">
        <v>5</v>
      </c>
      <c r="B715" s="201" t="s">
        <v>267</v>
      </c>
      <c r="C715" s="224"/>
      <c r="D715" s="176">
        <v>100000</v>
      </c>
      <c r="E715" s="177"/>
      <c r="F715" s="178" t="s">
        <v>123</v>
      </c>
    </row>
    <row r="716" spans="1:6" ht="18.75" x14ac:dyDescent="0.2">
      <c r="A716" s="223">
        <v>6</v>
      </c>
      <c r="B716" s="201" t="s">
        <v>256</v>
      </c>
      <c r="C716" s="224"/>
      <c r="D716" s="271">
        <v>100000</v>
      </c>
      <c r="E716" s="177"/>
      <c r="F716" s="178" t="s">
        <v>124</v>
      </c>
    </row>
    <row r="717" spans="1:6" ht="18.75" x14ac:dyDescent="0.2">
      <c r="A717" s="223">
        <v>7</v>
      </c>
      <c r="B717" s="201" t="s">
        <v>319</v>
      </c>
      <c r="C717" s="272"/>
      <c r="D717" s="273"/>
      <c r="E717" s="274"/>
      <c r="F717" s="178" t="s">
        <v>320</v>
      </c>
    </row>
    <row r="718" spans="1:6" ht="18.75" x14ac:dyDescent="0.2">
      <c r="A718" s="223">
        <v>8</v>
      </c>
      <c r="B718" s="201" t="s">
        <v>294</v>
      </c>
      <c r="C718" s="272"/>
      <c r="D718" s="148">
        <v>30000</v>
      </c>
      <c r="E718" s="274"/>
      <c r="F718" s="178" t="s">
        <v>324</v>
      </c>
    </row>
    <row r="719" spans="1:6" ht="18.75" x14ac:dyDescent="0.2">
      <c r="A719" s="223">
        <v>9</v>
      </c>
      <c r="B719" s="201" t="s">
        <v>322</v>
      </c>
      <c r="C719" s="272"/>
      <c r="D719" s="148">
        <v>30000</v>
      </c>
      <c r="E719" s="274"/>
      <c r="F719" s="178" t="s">
        <v>324</v>
      </c>
    </row>
    <row r="720" spans="1:6" ht="18.75" x14ac:dyDescent="0.2">
      <c r="A720" s="223">
        <v>10</v>
      </c>
      <c r="B720" s="201" t="s">
        <v>323</v>
      </c>
      <c r="C720" s="272"/>
      <c r="D720" s="148">
        <v>30000</v>
      </c>
      <c r="E720" s="274"/>
      <c r="F720" s="178" t="s">
        <v>324</v>
      </c>
    </row>
    <row r="721" spans="1:10" ht="18.75" x14ac:dyDescent="0.2">
      <c r="A721" s="223">
        <v>11</v>
      </c>
      <c r="B721" s="201" t="s">
        <v>325</v>
      </c>
      <c r="C721" s="272"/>
      <c r="D721" s="273"/>
      <c r="E721" s="274"/>
      <c r="F721" s="178" t="s">
        <v>326</v>
      </c>
    </row>
    <row r="722" spans="1:10" ht="18.75" x14ac:dyDescent="0.2">
      <c r="A722" s="223">
        <v>12</v>
      </c>
      <c r="B722" s="201" t="s">
        <v>327</v>
      </c>
      <c r="C722" s="224"/>
      <c r="D722" s="275"/>
      <c r="E722" s="178"/>
      <c r="F722" s="178" t="s">
        <v>372</v>
      </c>
    </row>
    <row r="723" spans="1:10" ht="18.75" x14ac:dyDescent="0.2">
      <c r="A723" s="223">
        <v>13</v>
      </c>
      <c r="B723" s="201" t="s">
        <v>261</v>
      </c>
      <c r="C723" s="224"/>
      <c r="D723" s="276"/>
      <c r="E723" s="178"/>
      <c r="F723" s="178" t="s">
        <v>372</v>
      </c>
    </row>
    <row r="724" spans="1:10" ht="18.75" x14ac:dyDescent="0.2">
      <c r="A724" s="223">
        <v>14</v>
      </c>
      <c r="B724" s="208" t="s">
        <v>132</v>
      </c>
      <c r="C724" s="224"/>
      <c r="D724" s="176">
        <v>50000</v>
      </c>
      <c r="E724" s="177"/>
      <c r="F724" s="178"/>
    </row>
    <row r="725" spans="1:10" ht="21" x14ac:dyDescent="0.2">
      <c r="A725" s="228"/>
      <c r="B725" s="229" t="s">
        <v>330</v>
      </c>
      <c r="C725" s="230"/>
      <c r="D725" s="231">
        <f>SUM(D713:D724)</f>
        <v>490000</v>
      </c>
      <c r="E725" s="177"/>
      <c r="F725" s="178"/>
    </row>
    <row r="726" spans="1:10" ht="21" x14ac:dyDescent="0.2">
      <c r="A726" s="228"/>
      <c r="B726" s="229" t="s">
        <v>23</v>
      </c>
      <c r="C726" s="230">
        <f>D726/D711</f>
        <v>0.36398626205134083</v>
      </c>
      <c r="D726" s="231">
        <f>D711-D725</f>
        <v>280423.61</v>
      </c>
      <c r="E726" s="177"/>
      <c r="F726" s="178"/>
    </row>
    <row r="727" spans="1:10" ht="42" x14ac:dyDescent="0.2">
      <c r="A727" s="173"/>
      <c r="B727" s="232" t="s">
        <v>331</v>
      </c>
      <c r="C727" s="233"/>
      <c r="D727" s="234">
        <f>D726+D724</f>
        <v>330423.61</v>
      </c>
      <c r="E727" s="177"/>
      <c r="F727" s="178"/>
    </row>
    <row r="728" spans="1:10" ht="20.25" x14ac:dyDescent="0.2">
      <c r="A728" s="807" t="s">
        <v>347</v>
      </c>
      <c r="B728" s="808"/>
      <c r="C728" s="808"/>
      <c r="D728" s="808"/>
      <c r="E728" s="808"/>
      <c r="F728" s="809"/>
      <c r="G728" s="250" t="s">
        <v>348</v>
      </c>
      <c r="H728" s="251" t="s">
        <v>349</v>
      </c>
      <c r="I728" s="251"/>
      <c r="J728" s="251" t="s">
        <v>350</v>
      </c>
    </row>
    <row r="729" spans="1:10" ht="63.75" customHeight="1" x14ac:dyDescent="0.2">
      <c r="A729" s="804" t="s">
        <v>579</v>
      </c>
      <c r="B729" s="805"/>
      <c r="C729" s="805"/>
      <c r="D729" s="805"/>
      <c r="E729" s="805"/>
      <c r="F729" s="806"/>
      <c r="G729" s="252">
        <v>0.1</v>
      </c>
      <c r="H729" s="253">
        <f>D730-D730*G729</f>
        <v>6717384</v>
      </c>
      <c r="I729" s="253"/>
      <c r="J729" s="253">
        <f>H729-D744</f>
        <v>4422277.8</v>
      </c>
    </row>
    <row r="730" spans="1:10" ht="18.75" x14ac:dyDescent="0.2">
      <c r="A730" s="173">
        <v>1</v>
      </c>
      <c r="B730" s="254" t="s">
        <v>352</v>
      </c>
      <c r="C730" s="175"/>
      <c r="D730" s="798">
        <v>7463760</v>
      </c>
      <c r="E730" s="799"/>
      <c r="F730" s="800"/>
      <c r="G730" s="252">
        <v>0.15</v>
      </c>
      <c r="H730" s="253">
        <f>D730-D730*G730</f>
        <v>6344196</v>
      </c>
      <c r="I730" s="253"/>
      <c r="J730" s="253">
        <f>H730-D744</f>
        <v>4049089.8</v>
      </c>
    </row>
    <row r="731" spans="1:10" ht="18.75" x14ac:dyDescent="0.2">
      <c r="A731" s="173">
        <v>2</v>
      </c>
      <c r="B731" s="254" t="s">
        <v>393</v>
      </c>
      <c r="C731" s="255"/>
      <c r="D731" s="256">
        <v>250000</v>
      </c>
      <c r="E731" s="177"/>
      <c r="F731" s="178"/>
      <c r="G731" s="252">
        <v>0.2</v>
      </c>
      <c r="H731" s="253">
        <f>D730-D730*G731</f>
        <v>5971008</v>
      </c>
      <c r="I731" s="253"/>
      <c r="J731" s="253">
        <f>H731-D744</f>
        <v>3675901.8</v>
      </c>
    </row>
    <row r="732" spans="1:10" ht="43.5" x14ac:dyDescent="0.2">
      <c r="A732" s="173">
        <v>3</v>
      </c>
      <c r="B732" s="257" t="s">
        <v>354</v>
      </c>
      <c r="C732" s="258">
        <v>0.5</v>
      </c>
      <c r="D732" s="259">
        <f>D730*C732</f>
        <v>3731880</v>
      </c>
      <c r="E732" s="177"/>
      <c r="F732" s="178"/>
      <c r="G732" s="252">
        <v>0.25</v>
      </c>
      <c r="H732" s="253">
        <f>D730-D730*G732</f>
        <v>5597820</v>
      </c>
      <c r="I732" s="253"/>
      <c r="J732" s="253">
        <f>H732-D744</f>
        <v>3302713.8</v>
      </c>
    </row>
    <row r="733" spans="1:10" ht="18.75" x14ac:dyDescent="0.2">
      <c r="A733" s="173">
        <v>4</v>
      </c>
      <c r="B733" s="260" t="s">
        <v>355</v>
      </c>
      <c r="C733" s="258">
        <v>7.0000000000000007E-2</v>
      </c>
      <c r="D733" s="261">
        <f>C733*D732</f>
        <v>261231.60000000003</v>
      </c>
      <c r="E733" s="177"/>
      <c r="F733" s="178"/>
      <c r="G733" s="252"/>
      <c r="H733" s="253"/>
      <c r="I733" s="253"/>
      <c r="J733" s="253"/>
    </row>
    <row r="734" spans="1:10" x14ac:dyDescent="0.2">
      <c r="A734" s="173">
        <v>5</v>
      </c>
      <c r="B734" s="260" t="s">
        <v>356</v>
      </c>
      <c r="C734" s="258">
        <v>0.04</v>
      </c>
      <c r="D734" s="261">
        <f>D732*C734</f>
        <v>149275.20000000001</v>
      </c>
      <c r="E734" s="178"/>
      <c r="F734" s="178"/>
    </row>
    <row r="735" spans="1:10" x14ac:dyDescent="0.2">
      <c r="A735" s="173">
        <v>6</v>
      </c>
      <c r="B735" s="260" t="s">
        <v>357</v>
      </c>
      <c r="C735" s="258">
        <v>7.0000000000000007E-2</v>
      </c>
      <c r="D735" s="261">
        <f>D732*C735</f>
        <v>261231.60000000003</v>
      </c>
      <c r="E735" s="177"/>
      <c r="F735" s="178"/>
    </row>
    <row r="736" spans="1:10" x14ac:dyDescent="0.2">
      <c r="A736" s="173">
        <v>7</v>
      </c>
      <c r="B736" s="260" t="s">
        <v>360</v>
      </c>
      <c r="C736" s="258">
        <v>7.0000000000000007E-2</v>
      </c>
      <c r="D736" s="261">
        <f>C736*D732</f>
        <v>261231.60000000003</v>
      </c>
      <c r="E736" s="177"/>
      <c r="F736" s="178" t="s">
        <v>359</v>
      </c>
    </row>
    <row r="737" spans="1:10" x14ac:dyDescent="0.2">
      <c r="A737" s="173">
        <v>8</v>
      </c>
      <c r="B737" s="260" t="s">
        <v>361</v>
      </c>
      <c r="C737" s="258">
        <v>0.1</v>
      </c>
      <c r="D737" s="261">
        <f>C737*D732</f>
        <v>373188</v>
      </c>
      <c r="E737" s="177"/>
      <c r="F737" s="178" t="s">
        <v>362</v>
      </c>
    </row>
    <row r="738" spans="1:10" x14ac:dyDescent="0.2">
      <c r="A738" s="173">
        <v>9</v>
      </c>
      <c r="B738" s="254" t="s">
        <v>580</v>
      </c>
      <c r="C738" s="263">
        <v>0.06</v>
      </c>
      <c r="D738" s="256">
        <f>D732*C738</f>
        <v>223912.8</v>
      </c>
      <c r="E738" s="176"/>
      <c r="F738" s="178" t="s">
        <v>573</v>
      </c>
    </row>
    <row r="739" spans="1:10" x14ac:dyDescent="0.2">
      <c r="A739" s="173">
        <v>10</v>
      </c>
      <c r="B739" s="254" t="s">
        <v>368</v>
      </c>
      <c r="C739" s="263">
        <v>0.04</v>
      </c>
      <c r="D739" s="256">
        <f>D732*C739</f>
        <v>149275.20000000001</v>
      </c>
      <c r="E739" s="177"/>
      <c r="F739" s="178" t="s">
        <v>367</v>
      </c>
    </row>
    <row r="740" spans="1:10" x14ac:dyDescent="0.2">
      <c r="A740" s="173">
        <v>11</v>
      </c>
      <c r="B740" s="254" t="s">
        <v>260</v>
      </c>
      <c r="C740" s="263">
        <v>3.5000000000000003E-2</v>
      </c>
      <c r="D740" s="256">
        <f>C740*D732</f>
        <v>130615.80000000002</v>
      </c>
      <c r="E740" s="177"/>
      <c r="F740" s="178" t="s">
        <v>371</v>
      </c>
    </row>
    <row r="741" spans="1:10" x14ac:dyDescent="0.2">
      <c r="A741" s="173">
        <v>12</v>
      </c>
      <c r="B741" s="254" t="s">
        <v>262</v>
      </c>
      <c r="C741" s="263">
        <v>0.02</v>
      </c>
      <c r="D741" s="256">
        <f>C741*D732</f>
        <v>74637.600000000006</v>
      </c>
      <c r="E741" s="177"/>
      <c r="F741" s="178"/>
    </row>
    <row r="742" spans="1:10" x14ac:dyDescent="0.2">
      <c r="A742" s="173">
        <v>13</v>
      </c>
      <c r="B742" s="254" t="s">
        <v>205</v>
      </c>
      <c r="C742" s="263">
        <v>0.06</v>
      </c>
      <c r="D742" s="256">
        <f>C742*D732</f>
        <v>223912.8</v>
      </c>
      <c r="E742" s="176"/>
      <c r="F742" s="178" t="s">
        <v>359</v>
      </c>
    </row>
    <row r="743" spans="1:10" ht="30" x14ac:dyDescent="0.2">
      <c r="A743" s="173"/>
      <c r="B743" s="254" t="s">
        <v>100</v>
      </c>
      <c r="C743" s="263">
        <v>0.05</v>
      </c>
      <c r="D743" s="256">
        <f>C743*D732</f>
        <v>186594</v>
      </c>
      <c r="E743" s="187"/>
      <c r="F743" s="177"/>
    </row>
    <row r="744" spans="1:10" x14ac:dyDescent="0.2">
      <c r="A744" s="173"/>
      <c r="B744" s="264" t="s">
        <v>374</v>
      </c>
      <c r="C744" s="265">
        <f>SUM(C733:C743)</f>
        <v>0.61499999999999999</v>
      </c>
      <c r="D744" s="266">
        <f>SUM(D733:D743)</f>
        <v>2295106.2000000002</v>
      </c>
      <c r="E744" s="187"/>
      <c r="F744" s="177"/>
    </row>
    <row r="745" spans="1:10" x14ac:dyDescent="0.2">
      <c r="A745" s="173"/>
      <c r="B745" s="264" t="s">
        <v>132</v>
      </c>
      <c r="C745" s="265">
        <v>0.1</v>
      </c>
      <c r="D745" s="256">
        <f>C745*D732</f>
        <v>373188</v>
      </c>
      <c r="E745" s="187"/>
      <c r="F745" s="177"/>
    </row>
    <row r="746" spans="1:10" ht="28.5" x14ac:dyDescent="0.2">
      <c r="A746" s="267"/>
      <c r="B746" s="264" t="s">
        <v>275</v>
      </c>
      <c r="C746" s="265">
        <f>D746/D730</f>
        <v>0.60900481794698647</v>
      </c>
      <c r="D746" s="256">
        <f>D730-D744-D745-D731</f>
        <v>4545465.8</v>
      </c>
      <c r="E746" s="177"/>
      <c r="F746" s="177"/>
    </row>
    <row r="747" spans="1:10" ht="28.5" x14ac:dyDescent="0.2">
      <c r="A747" s="267"/>
      <c r="B747" s="264" t="s">
        <v>375</v>
      </c>
      <c r="C747" s="268">
        <f>D747/D730</f>
        <v>0.65900481794698651</v>
      </c>
      <c r="D747" s="269">
        <f>D746+D745</f>
        <v>4918653.8</v>
      </c>
      <c r="E747" s="177"/>
      <c r="F747" s="177"/>
    </row>
    <row r="748" spans="1:10" ht="20.25" x14ac:dyDescent="0.2">
      <c r="A748" s="807" t="s">
        <v>581</v>
      </c>
      <c r="B748" s="808"/>
      <c r="C748" s="808"/>
      <c r="D748" s="808"/>
      <c r="E748" s="808"/>
      <c r="F748" s="809"/>
      <c r="G748" s="250" t="s">
        <v>348</v>
      </c>
      <c r="H748" s="251" t="s">
        <v>349</v>
      </c>
      <c r="I748" s="251"/>
      <c r="J748" s="251" t="s">
        <v>350</v>
      </c>
    </row>
    <row r="749" spans="1:10" ht="20.25" x14ac:dyDescent="0.2">
      <c r="A749" s="804" t="s">
        <v>582</v>
      </c>
      <c r="B749" s="805"/>
      <c r="C749" s="805"/>
      <c r="D749" s="805"/>
      <c r="E749" s="805"/>
      <c r="F749" s="806"/>
      <c r="G749" s="252">
        <v>0.1</v>
      </c>
      <c r="H749" s="253">
        <f>D750-D750*G749</f>
        <v>450000</v>
      </c>
      <c r="I749" s="253"/>
      <c r="J749" s="253">
        <f>H749-D760</f>
        <v>232500</v>
      </c>
    </row>
    <row r="750" spans="1:10" ht="18.75" x14ac:dyDescent="0.2">
      <c r="A750" s="173">
        <v>1</v>
      </c>
      <c r="B750" s="254" t="s">
        <v>352</v>
      </c>
      <c r="C750" s="175"/>
      <c r="D750" s="798">
        <v>500000</v>
      </c>
      <c r="E750" s="799"/>
      <c r="F750" s="800"/>
      <c r="G750" s="252">
        <v>0.15</v>
      </c>
      <c r="H750" s="253">
        <f>D750-D750*G750</f>
        <v>425000</v>
      </c>
      <c r="I750" s="253"/>
      <c r="J750" s="253">
        <f>H750-D760</f>
        <v>207500</v>
      </c>
    </row>
    <row r="751" spans="1:10" ht="18.75" x14ac:dyDescent="0.2">
      <c r="A751" s="173">
        <v>2</v>
      </c>
      <c r="B751" s="254" t="s">
        <v>393</v>
      </c>
      <c r="C751" s="255"/>
      <c r="D751" s="256">
        <v>0</v>
      </c>
      <c r="E751" s="177"/>
      <c r="F751" s="178"/>
      <c r="G751" s="252">
        <v>0.2</v>
      </c>
      <c r="H751" s="253">
        <f>D750-D750*G751</f>
        <v>400000</v>
      </c>
      <c r="I751" s="253"/>
      <c r="J751" s="253">
        <f>H751-D760</f>
        <v>182500</v>
      </c>
    </row>
    <row r="752" spans="1:10" ht="43.5" x14ac:dyDescent="0.2">
      <c r="A752" s="173">
        <v>3</v>
      </c>
      <c r="B752" s="257" t="s">
        <v>354</v>
      </c>
      <c r="C752" s="258">
        <v>0.5</v>
      </c>
      <c r="D752" s="259">
        <f>D750*C752</f>
        <v>250000</v>
      </c>
      <c r="E752" s="177"/>
      <c r="F752" s="178"/>
      <c r="G752" s="252">
        <v>0.25</v>
      </c>
      <c r="H752" s="253">
        <f>D750-D750*G752</f>
        <v>375000</v>
      </c>
      <c r="I752" s="253"/>
      <c r="J752" s="253">
        <f>H752-D760</f>
        <v>157500</v>
      </c>
    </row>
    <row r="753" spans="1:10" ht="18.75" x14ac:dyDescent="0.2">
      <c r="A753" s="173">
        <v>4</v>
      </c>
      <c r="B753" s="260" t="s">
        <v>355</v>
      </c>
      <c r="C753" s="258">
        <v>7.0000000000000007E-2</v>
      </c>
      <c r="D753" s="261">
        <f>C753*D752</f>
        <v>17500</v>
      </c>
      <c r="E753" s="177"/>
      <c r="F753" s="178" t="s">
        <v>211</v>
      </c>
      <c r="G753" s="252"/>
      <c r="H753" s="253"/>
      <c r="I753" s="253"/>
      <c r="J753" s="253"/>
    </row>
    <row r="754" spans="1:10" x14ac:dyDescent="0.2">
      <c r="A754" s="173">
        <v>5</v>
      </c>
      <c r="B754" s="260" t="s">
        <v>356</v>
      </c>
      <c r="C754" s="258">
        <v>0.04</v>
      </c>
      <c r="D754" s="261">
        <f>D752*C754</f>
        <v>10000</v>
      </c>
      <c r="E754" s="178"/>
      <c r="F754" s="178" t="s">
        <v>211</v>
      </c>
    </row>
    <row r="755" spans="1:10" x14ac:dyDescent="0.2">
      <c r="A755" s="173">
        <v>6</v>
      </c>
      <c r="B755" s="260" t="s">
        <v>357</v>
      </c>
      <c r="C755" s="258">
        <v>0.1</v>
      </c>
      <c r="D755" s="261">
        <f>D752*C755</f>
        <v>25000</v>
      </c>
      <c r="E755" s="177"/>
      <c r="F755" s="178" t="s">
        <v>211</v>
      </c>
    </row>
    <row r="756" spans="1:10" x14ac:dyDescent="0.2">
      <c r="A756" s="173">
        <v>7</v>
      </c>
      <c r="B756" s="260" t="s">
        <v>360</v>
      </c>
      <c r="C756" s="258">
        <v>0.2</v>
      </c>
      <c r="D756" s="261">
        <f>C756*D752</f>
        <v>50000</v>
      </c>
      <c r="E756" s="177"/>
      <c r="F756" s="178" t="s">
        <v>211</v>
      </c>
    </row>
    <row r="757" spans="1:10" ht="31.5" x14ac:dyDescent="0.2">
      <c r="A757" s="173">
        <v>12</v>
      </c>
      <c r="B757" s="254" t="s">
        <v>319</v>
      </c>
      <c r="C757" s="263">
        <v>0.35</v>
      </c>
      <c r="D757" s="256">
        <f>C757*D752</f>
        <v>87500</v>
      </c>
      <c r="E757" s="177"/>
      <c r="F757" s="178" t="s">
        <v>583</v>
      </c>
    </row>
    <row r="758" spans="1:10" x14ac:dyDescent="0.2">
      <c r="A758" s="173">
        <v>13</v>
      </c>
      <c r="B758" s="254" t="s">
        <v>205</v>
      </c>
      <c r="C758" s="263">
        <v>0.06</v>
      </c>
      <c r="D758" s="256">
        <f>C758*D752</f>
        <v>15000</v>
      </c>
      <c r="E758" s="176"/>
      <c r="F758" s="178" t="s">
        <v>211</v>
      </c>
    </row>
    <row r="759" spans="1:10" ht="30" x14ac:dyDescent="0.2">
      <c r="A759" s="173"/>
      <c r="B759" s="254" t="s">
        <v>100</v>
      </c>
      <c r="C759" s="263">
        <v>0.05</v>
      </c>
      <c r="D759" s="256">
        <f>C759*D752</f>
        <v>12500</v>
      </c>
      <c r="E759" s="187"/>
      <c r="F759" s="177"/>
    </row>
    <row r="760" spans="1:10" x14ac:dyDescent="0.2">
      <c r="A760" s="173"/>
      <c r="B760" s="264" t="s">
        <v>374</v>
      </c>
      <c r="C760" s="265">
        <f>SUM(C753:C759)</f>
        <v>0.87000000000000011</v>
      </c>
      <c r="D760" s="266">
        <f>SUM(D753:D759)</f>
        <v>217500</v>
      </c>
      <c r="E760" s="187"/>
      <c r="F760" s="177"/>
    </row>
    <row r="761" spans="1:10" x14ac:dyDescent="0.2">
      <c r="A761" s="173"/>
      <c r="B761" s="264" t="s">
        <v>132</v>
      </c>
      <c r="C761" s="265">
        <v>0.1</v>
      </c>
      <c r="D761" s="256">
        <f>C761*D752</f>
        <v>25000</v>
      </c>
      <c r="E761" s="187"/>
      <c r="F761" s="177"/>
    </row>
    <row r="762" spans="1:10" ht="28.5" x14ac:dyDescent="0.2">
      <c r="A762" s="267"/>
      <c r="B762" s="264" t="s">
        <v>275</v>
      </c>
      <c r="C762" s="265">
        <f>D762/D750</f>
        <v>0.51500000000000001</v>
      </c>
      <c r="D762" s="256">
        <f>D750-D760-D761-D751</f>
        <v>257500</v>
      </c>
      <c r="E762" s="177"/>
      <c r="F762" s="177"/>
    </row>
    <row r="763" spans="1:10" ht="28.5" x14ac:dyDescent="0.2">
      <c r="A763" s="267"/>
      <c r="B763" s="264" t="s">
        <v>375</v>
      </c>
      <c r="C763" s="268">
        <f>D763/D750</f>
        <v>0.56499999999999995</v>
      </c>
      <c r="D763" s="269">
        <f>D762+D761</f>
        <v>282500</v>
      </c>
      <c r="E763" s="177"/>
      <c r="F763" s="177"/>
    </row>
    <row r="765" spans="1:10" ht="20.25" x14ac:dyDescent="0.2">
      <c r="A765" s="807" t="s">
        <v>581</v>
      </c>
      <c r="B765" s="808"/>
      <c r="C765" s="808"/>
      <c r="D765" s="808"/>
      <c r="E765" s="808"/>
      <c r="F765" s="809"/>
      <c r="G765" s="250" t="s">
        <v>348</v>
      </c>
      <c r="H765" s="251" t="s">
        <v>349</v>
      </c>
      <c r="I765" s="251"/>
      <c r="J765" s="251" t="s">
        <v>350</v>
      </c>
    </row>
    <row r="766" spans="1:10" ht="20.25" x14ac:dyDescent="0.2">
      <c r="A766" s="804" t="s">
        <v>584</v>
      </c>
      <c r="B766" s="805"/>
      <c r="C766" s="805"/>
      <c r="D766" s="805"/>
      <c r="E766" s="805"/>
      <c r="F766" s="806"/>
      <c r="G766" s="252">
        <v>0.1</v>
      </c>
      <c r="H766" s="253">
        <f>D767-D767*G766</f>
        <v>990000</v>
      </c>
      <c r="I766" s="253"/>
      <c r="J766" s="253">
        <f>H766-D777</f>
        <v>-1058000</v>
      </c>
    </row>
    <row r="767" spans="1:10" ht="20.25" customHeight="1" x14ac:dyDescent="0.2">
      <c r="A767" s="173">
        <v>1</v>
      </c>
      <c r="B767" s="254" t="s">
        <v>352</v>
      </c>
      <c r="C767" s="175"/>
      <c r="D767" s="798">
        <v>1100000</v>
      </c>
      <c r="E767" s="799"/>
      <c r="F767" s="800"/>
      <c r="G767" s="252">
        <v>0.15</v>
      </c>
      <c r="H767" s="253">
        <f>D767-D767*G767</f>
        <v>935000</v>
      </c>
      <c r="I767" s="253"/>
      <c r="J767" s="253">
        <f>H767-D777</f>
        <v>-1113000</v>
      </c>
    </row>
    <row r="768" spans="1:10" ht="18.75" x14ac:dyDescent="0.2">
      <c r="A768" s="173">
        <v>2</v>
      </c>
      <c r="B768" s="254" t="s">
        <v>393</v>
      </c>
      <c r="C768" s="255"/>
      <c r="D768" s="256">
        <v>0</v>
      </c>
      <c r="E768" s="177"/>
      <c r="F768" s="178"/>
      <c r="G768" s="252">
        <v>0.2</v>
      </c>
      <c r="H768" s="253">
        <f>D767-D767*G768</f>
        <v>880000</v>
      </c>
      <c r="I768" s="253"/>
      <c r="J768" s="253">
        <f>H768-D777</f>
        <v>-1168000</v>
      </c>
    </row>
    <row r="769" spans="1:10" ht="43.5" x14ac:dyDescent="0.2">
      <c r="A769" s="173">
        <v>3</v>
      </c>
      <c r="B769" s="257" t="s">
        <v>354</v>
      </c>
      <c r="C769" s="258">
        <v>0.5</v>
      </c>
      <c r="D769" s="259">
        <f>D767*C769</f>
        <v>550000</v>
      </c>
      <c r="E769" s="177"/>
      <c r="F769" s="178"/>
      <c r="G769" s="252">
        <v>0.25</v>
      </c>
      <c r="H769" s="253">
        <f>D767-D767*G769</f>
        <v>825000</v>
      </c>
      <c r="I769" s="253"/>
      <c r="J769" s="253">
        <f>H769-D777</f>
        <v>-1223000</v>
      </c>
    </row>
    <row r="770" spans="1:10" ht="18.75" x14ac:dyDescent="0.2">
      <c r="A770" s="173">
        <v>4</v>
      </c>
      <c r="B770" s="260" t="s">
        <v>355</v>
      </c>
      <c r="C770" s="258">
        <v>7.0000000000000007E-2</v>
      </c>
      <c r="D770" s="261">
        <f>C770*D769</f>
        <v>38500.000000000007</v>
      </c>
      <c r="E770" s="177"/>
      <c r="F770" s="178"/>
      <c r="G770" s="252"/>
      <c r="H770" s="253"/>
      <c r="I770" s="253"/>
      <c r="J770" s="253"/>
    </row>
    <row r="771" spans="1:10" x14ac:dyDescent="0.2">
      <c r="A771" s="173">
        <v>5</v>
      </c>
      <c r="B771" s="260" t="s">
        <v>356</v>
      </c>
      <c r="C771" s="258">
        <v>0.04</v>
      </c>
      <c r="D771" s="261">
        <f>D769*C771</f>
        <v>22000</v>
      </c>
      <c r="E771" s="178"/>
      <c r="F771" s="178"/>
    </row>
    <row r="772" spans="1:10" x14ac:dyDescent="0.2">
      <c r="A772" s="173">
        <v>6</v>
      </c>
      <c r="B772" s="260" t="s">
        <v>585</v>
      </c>
      <c r="C772" s="258"/>
      <c r="D772" s="261">
        <v>560000</v>
      </c>
      <c r="E772" s="177"/>
      <c r="F772" s="178"/>
    </row>
    <row r="773" spans="1:10" x14ac:dyDescent="0.2">
      <c r="A773" s="173">
        <v>7</v>
      </c>
      <c r="B773" s="260" t="s">
        <v>586</v>
      </c>
      <c r="C773" s="258"/>
      <c r="D773" s="261">
        <v>560000</v>
      </c>
      <c r="E773" s="177"/>
      <c r="F773" s="178"/>
    </row>
    <row r="774" spans="1:10" x14ac:dyDescent="0.2">
      <c r="A774" s="173">
        <v>12</v>
      </c>
      <c r="B774" s="260" t="s">
        <v>587</v>
      </c>
      <c r="C774" s="263"/>
      <c r="D774" s="256">
        <v>448000</v>
      </c>
      <c r="E774" s="177"/>
      <c r="F774" s="178"/>
    </row>
    <row r="775" spans="1:10" x14ac:dyDescent="0.2">
      <c r="A775" s="173">
        <v>13</v>
      </c>
      <c r="B775" s="260" t="s">
        <v>588</v>
      </c>
      <c r="C775" s="263"/>
      <c r="D775" s="256">
        <v>392000</v>
      </c>
      <c r="E775" s="176"/>
      <c r="F775" s="178"/>
    </row>
    <row r="776" spans="1:10" ht="30" x14ac:dyDescent="0.2">
      <c r="A776" s="173"/>
      <c r="B776" s="254" t="s">
        <v>100</v>
      </c>
      <c r="C776" s="263">
        <v>0.05</v>
      </c>
      <c r="D776" s="256">
        <f>C776*D769</f>
        <v>27500</v>
      </c>
      <c r="E776" s="187"/>
      <c r="F776" s="177"/>
    </row>
    <row r="777" spans="1:10" x14ac:dyDescent="0.2">
      <c r="A777" s="173"/>
      <c r="B777" s="264" t="s">
        <v>374</v>
      </c>
      <c r="C777" s="265">
        <f>SUM(C770:C776)</f>
        <v>0.16000000000000003</v>
      </c>
      <c r="D777" s="266">
        <f>SUM(D770:D776)</f>
        <v>2048000</v>
      </c>
      <c r="E777" s="187"/>
      <c r="F777" s="177"/>
    </row>
    <row r="778" spans="1:10" x14ac:dyDescent="0.2">
      <c r="A778" s="173"/>
      <c r="B778" s="264" t="s">
        <v>132</v>
      </c>
      <c r="C778" s="265">
        <v>0.1</v>
      </c>
      <c r="D778" s="256">
        <f>C778*D769</f>
        <v>55000</v>
      </c>
      <c r="E778" s="187"/>
      <c r="F778" s="177"/>
    </row>
    <row r="779" spans="1:10" ht="28.5" x14ac:dyDescent="0.2">
      <c r="A779" s="267"/>
      <c r="B779" s="264" t="s">
        <v>275</v>
      </c>
      <c r="C779" s="265">
        <f>D779/D767</f>
        <v>-0.91181818181818186</v>
      </c>
      <c r="D779" s="256">
        <f>D767-D777-D778-D768</f>
        <v>-1003000</v>
      </c>
      <c r="E779" s="177"/>
      <c r="F779" s="177"/>
    </row>
    <row r="780" spans="1:10" ht="28.5" x14ac:dyDescent="0.2">
      <c r="A780" s="267"/>
      <c r="B780" s="264" t="s">
        <v>375</v>
      </c>
      <c r="C780" s="268">
        <f t="shared" ref="C780:C781" si="0">D780/D767</f>
        <v>-0.86181818181818182</v>
      </c>
      <c r="D780" s="269">
        <f t="shared" ref="D780:D781" si="1">D779+D778</f>
        <v>-948000</v>
      </c>
      <c r="E780" s="177"/>
      <c r="F780" s="177"/>
    </row>
    <row r="781" spans="1:10" ht="28.5" x14ac:dyDescent="0.2">
      <c r="A781" s="267"/>
      <c r="B781" s="264" t="s">
        <v>375</v>
      </c>
      <c r="C781" s="268" t="e">
        <f t="shared" si="0"/>
        <v>#DIV/0!</v>
      </c>
      <c r="D781" s="269">
        <f t="shared" si="1"/>
        <v>-1951000</v>
      </c>
      <c r="E781" s="177"/>
      <c r="F781" s="177"/>
    </row>
    <row r="782" spans="1:10" ht="20.25" x14ac:dyDescent="0.2">
      <c r="A782" s="807" t="s">
        <v>347</v>
      </c>
      <c r="B782" s="808"/>
      <c r="C782" s="808"/>
      <c r="D782" s="808"/>
      <c r="E782" s="808"/>
      <c r="F782" s="809"/>
      <c r="G782" s="250" t="s">
        <v>348</v>
      </c>
      <c r="H782" s="251" t="s">
        <v>349</v>
      </c>
      <c r="I782" s="251"/>
      <c r="J782" s="251" t="s">
        <v>350</v>
      </c>
    </row>
    <row r="783" spans="1:10" ht="124.5" customHeight="1" x14ac:dyDescent="0.2">
      <c r="A783" s="804" t="s">
        <v>589</v>
      </c>
      <c r="B783" s="805"/>
      <c r="C783" s="805"/>
      <c r="D783" s="805"/>
      <c r="E783" s="805"/>
      <c r="F783" s="806"/>
      <c r="G783" s="252">
        <v>0.1</v>
      </c>
      <c r="H783" s="253">
        <v>7920000</v>
      </c>
      <c r="I783" s="253"/>
      <c r="J783" s="253">
        <v>4246000</v>
      </c>
    </row>
    <row r="784" spans="1:10" ht="18.75" x14ac:dyDescent="0.2">
      <c r="A784" s="173">
        <v>1</v>
      </c>
      <c r="B784" s="254" t="s">
        <v>352</v>
      </c>
      <c r="C784" s="175"/>
      <c r="D784" s="798">
        <v>8360000</v>
      </c>
      <c r="E784" s="799"/>
      <c r="F784" s="800"/>
      <c r="G784" s="252">
        <v>0.15</v>
      </c>
      <c r="H784" s="253">
        <v>7480000</v>
      </c>
      <c r="I784" s="253"/>
      <c r="J784" s="253">
        <v>3806000</v>
      </c>
    </row>
    <row r="785" spans="1:10" ht="18.75" x14ac:dyDescent="0.2">
      <c r="A785" s="173">
        <v>2</v>
      </c>
      <c r="B785" s="254" t="s">
        <v>590</v>
      </c>
      <c r="C785" s="175"/>
      <c r="D785" s="256">
        <v>500000</v>
      </c>
      <c r="E785" s="177"/>
      <c r="F785" s="178"/>
      <c r="G785" s="252">
        <v>0.2</v>
      </c>
      <c r="H785" s="253">
        <v>7040000</v>
      </c>
      <c r="I785" s="253"/>
      <c r="J785" s="253">
        <v>3366000</v>
      </c>
    </row>
    <row r="786" spans="1:10" ht="18.75" x14ac:dyDescent="0.2">
      <c r="A786" s="173">
        <v>3</v>
      </c>
      <c r="B786" s="254" t="s">
        <v>393</v>
      </c>
      <c r="C786" s="255"/>
      <c r="D786" s="256">
        <v>250000</v>
      </c>
      <c r="E786" s="177"/>
      <c r="F786" s="178"/>
      <c r="G786" s="252">
        <v>0.25</v>
      </c>
      <c r="H786" s="253">
        <v>6600000</v>
      </c>
      <c r="I786" s="253"/>
      <c r="J786" s="253">
        <v>2926000</v>
      </c>
    </row>
    <row r="787" spans="1:10" ht="43.5" x14ac:dyDescent="0.2">
      <c r="A787" s="173"/>
      <c r="B787" s="257" t="s">
        <v>354</v>
      </c>
      <c r="C787" s="258">
        <v>0.5</v>
      </c>
      <c r="D787" s="259">
        <v>4400000</v>
      </c>
      <c r="E787" s="177"/>
      <c r="F787" s="178"/>
      <c r="G787" s="252"/>
      <c r="H787" s="253"/>
      <c r="I787" s="253"/>
      <c r="J787" s="253"/>
    </row>
    <row r="788" spans="1:10" x14ac:dyDescent="0.2">
      <c r="A788" s="173">
        <v>4</v>
      </c>
      <c r="B788" s="260" t="s">
        <v>355</v>
      </c>
      <c r="C788" s="258">
        <v>7.0000000000000007E-2</v>
      </c>
      <c r="D788" s="261">
        <v>308000.00000000006</v>
      </c>
      <c r="E788" s="177"/>
      <c r="F788" s="178"/>
      <c r="G788" s="463"/>
      <c r="H788" s="463"/>
      <c r="I788" s="463"/>
      <c r="J788" s="463"/>
    </row>
    <row r="789" spans="1:10" x14ac:dyDescent="0.2">
      <c r="A789" s="173">
        <v>5</v>
      </c>
      <c r="B789" s="260" t="s">
        <v>356</v>
      </c>
      <c r="C789" s="258">
        <v>0.04</v>
      </c>
      <c r="D789" s="261">
        <v>176000</v>
      </c>
      <c r="E789" s="178"/>
      <c r="F789" s="178"/>
      <c r="G789" s="463"/>
      <c r="H789" s="463"/>
      <c r="I789" s="463"/>
      <c r="J789" s="463"/>
    </row>
    <row r="790" spans="1:10" x14ac:dyDescent="0.2">
      <c r="A790" s="173">
        <v>6</v>
      </c>
      <c r="B790" s="260" t="s">
        <v>357</v>
      </c>
      <c r="C790" s="258">
        <v>7.0000000000000007E-2</v>
      </c>
      <c r="D790" s="261">
        <v>308000.00000000006</v>
      </c>
      <c r="E790" s="177"/>
      <c r="F790" s="178"/>
      <c r="G790" s="463"/>
      <c r="H790" s="463"/>
      <c r="I790" s="463"/>
      <c r="J790" s="463"/>
    </row>
    <row r="791" spans="1:10" x14ac:dyDescent="0.2">
      <c r="A791" s="173">
        <v>7</v>
      </c>
      <c r="B791" s="260" t="s">
        <v>360</v>
      </c>
      <c r="C791" s="258">
        <v>7.0000000000000007E-2</v>
      </c>
      <c r="D791" s="261">
        <v>308000.00000000006</v>
      </c>
      <c r="E791" s="177"/>
      <c r="F791" s="178" t="s">
        <v>359</v>
      </c>
      <c r="G791" s="463"/>
      <c r="H791" s="463"/>
      <c r="I791" s="463"/>
      <c r="J791" s="463"/>
    </row>
    <row r="792" spans="1:10" x14ac:dyDescent="0.2">
      <c r="A792" s="173">
        <v>8</v>
      </c>
      <c r="B792" s="260" t="s">
        <v>591</v>
      </c>
      <c r="C792" s="258">
        <v>0.1</v>
      </c>
      <c r="D792" s="261">
        <v>440000</v>
      </c>
      <c r="E792" s="177"/>
      <c r="F792" s="178" t="s">
        <v>359</v>
      </c>
      <c r="G792" s="463"/>
      <c r="H792" s="463"/>
      <c r="I792" s="463"/>
      <c r="J792" s="463"/>
    </row>
    <row r="793" spans="1:10" x14ac:dyDescent="0.2">
      <c r="A793" s="173">
        <v>9</v>
      </c>
      <c r="B793" s="260" t="s">
        <v>319</v>
      </c>
      <c r="C793" s="258">
        <v>0.1</v>
      </c>
      <c r="D793" s="261">
        <v>440000</v>
      </c>
      <c r="E793" s="177"/>
      <c r="F793" s="178"/>
      <c r="G793" s="463"/>
      <c r="H793" s="463"/>
      <c r="I793" s="463"/>
      <c r="J793" s="463"/>
    </row>
    <row r="794" spans="1:10" x14ac:dyDescent="0.2">
      <c r="A794" s="173">
        <v>9</v>
      </c>
      <c r="B794" s="254" t="s">
        <v>580</v>
      </c>
      <c r="C794" s="263">
        <v>0.06</v>
      </c>
      <c r="D794" s="256">
        <v>264000</v>
      </c>
      <c r="E794" s="176"/>
      <c r="F794" s="178" t="s">
        <v>367</v>
      </c>
      <c r="G794" s="463"/>
      <c r="H794" s="463"/>
      <c r="I794" s="463"/>
      <c r="J794" s="463"/>
    </row>
    <row r="795" spans="1:10" x14ac:dyDescent="0.2">
      <c r="A795" s="173">
        <v>10</v>
      </c>
      <c r="B795" s="254" t="s">
        <v>368</v>
      </c>
      <c r="C795" s="263">
        <v>0.04</v>
      </c>
      <c r="D795" s="256">
        <v>176000</v>
      </c>
      <c r="E795" s="177"/>
      <c r="F795" s="178" t="s">
        <v>367</v>
      </c>
      <c r="G795" s="463"/>
      <c r="H795" s="463"/>
      <c r="I795" s="463"/>
      <c r="J795" s="463"/>
    </row>
    <row r="796" spans="1:10" x14ac:dyDescent="0.2">
      <c r="A796" s="173">
        <v>11</v>
      </c>
      <c r="B796" s="254" t="s">
        <v>592</v>
      </c>
      <c r="C796" s="263">
        <v>0.06</v>
      </c>
      <c r="D796" s="256">
        <v>264000</v>
      </c>
      <c r="E796" s="177"/>
      <c r="F796" s="178"/>
      <c r="G796" s="463"/>
      <c r="H796" s="463"/>
      <c r="I796" s="463"/>
      <c r="J796" s="463"/>
    </row>
    <row r="797" spans="1:10" x14ac:dyDescent="0.2">
      <c r="A797" s="173">
        <v>11</v>
      </c>
      <c r="B797" s="254" t="s">
        <v>260</v>
      </c>
      <c r="C797" s="263">
        <v>3.5000000000000003E-2</v>
      </c>
      <c r="D797" s="256">
        <v>154000.00000000003</v>
      </c>
      <c r="E797" s="177"/>
      <c r="F797" s="178" t="s">
        <v>371</v>
      </c>
      <c r="G797" s="463"/>
      <c r="H797" s="463"/>
      <c r="I797" s="463"/>
      <c r="J797" s="463"/>
    </row>
    <row r="798" spans="1:10" x14ac:dyDescent="0.2">
      <c r="A798" s="173"/>
      <c r="B798" s="254" t="s">
        <v>272</v>
      </c>
      <c r="C798" s="263">
        <v>0.04</v>
      </c>
      <c r="D798" s="256">
        <v>176000</v>
      </c>
      <c r="E798" s="177"/>
      <c r="F798" s="178"/>
    </row>
    <row r="799" spans="1:10" x14ac:dyDescent="0.2">
      <c r="A799" s="173"/>
      <c r="B799" s="254" t="s">
        <v>261</v>
      </c>
      <c r="C799" s="263">
        <v>0.04</v>
      </c>
      <c r="D799" s="256">
        <v>176000</v>
      </c>
      <c r="E799" s="177"/>
      <c r="F799" s="178"/>
    </row>
    <row r="800" spans="1:10" x14ac:dyDescent="0.2">
      <c r="A800" s="173">
        <v>13</v>
      </c>
      <c r="B800" s="254" t="s">
        <v>205</v>
      </c>
      <c r="C800" s="263">
        <v>0.06</v>
      </c>
      <c r="D800" s="256">
        <v>264000</v>
      </c>
      <c r="E800" s="176"/>
      <c r="F800" s="178" t="s">
        <v>359</v>
      </c>
    </row>
    <row r="801" spans="1:10" ht="30" x14ac:dyDescent="0.2">
      <c r="A801" s="173"/>
      <c r="B801" s="254" t="s">
        <v>100</v>
      </c>
      <c r="C801" s="263">
        <v>0.05</v>
      </c>
      <c r="D801" s="256">
        <v>220000</v>
      </c>
      <c r="E801" s="187"/>
      <c r="F801" s="177"/>
    </row>
    <row r="802" spans="1:10" x14ac:dyDescent="0.2">
      <c r="A802" s="173"/>
      <c r="B802" s="264" t="s">
        <v>593</v>
      </c>
      <c r="C802" s="265">
        <v>0.83500000000000019</v>
      </c>
      <c r="D802" s="266">
        <v>3674000</v>
      </c>
      <c r="E802" s="187"/>
      <c r="F802" s="177"/>
    </row>
    <row r="803" spans="1:10" x14ac:dyDescent="0.2">
      <c r="A803" s="173"/>
      <c r="B803" s="264" t="s">
        <v>132</v>
      </c>
      <c r="C803" s="265">
        <v>0.1</v>
      </c>
      <c r="D803" s="256">
        <v>440000</v>
      </c>
      <c r="E803" s="187"/>
      <c r="F803" s="177"/>
    </row>
    <row r="804" spans="1:10" x14ac:dyDescent="0.2">
      <c r="A804" s="267"/>
      <c r="B804" s="264" t="s">
        <v>594</v>
      </c>
      <c r="C804" s="265">
        <v>0.44727272727272727</v>
      </c>
      <c r="D804" s="256">
        <v>3936000</v>
      </c>
      <c r="E804" s="177"/>
      <c r="F804" s="177"/>
    </row>
    <row r="805" spans="1:10" ht="28.5" x14ac:dyDescent="0.2">
      <c r="A805" s="267"/>
      <c r="B805" s="264" t="s">
        <v>375</v>
      </c>
      <c r="C805" s="268">
        <v>0.49727272727272726</v>
      </c>
      <c r="D805" s="269">
        <v>4376000</v>
      </c>
      <c r="E805" s="177"/>
      <c r="F805" s="177"/>
    </row>
    <row r="806" spans="1:10" ht="20.25" x14ac:dyDescent="0.2">
      <c r="A806" s="807" t="s">
        <v>347</v>
      </c>
      <c r="B806" s="808"/>
      <c r="C806" s="808"/>
      <c r="D806" s="808"/>
      <c r="E806" s="808"/>
      <c r="F806" s="809"/>
      <c r="G806" s="250" t="s">
        <v>348</v>
      </c>
      <c r="H806" s="251" t="s">
        <v>349</v>
      </c>
      <c r="I806" s="251"/>
      <c r="J806" s="251" t="s">
        <v>350</v>
      </c>
    </row>
    <row r="807" spans="1:10" ht="58.5" customHeight="1" x14ac:dyDescent="0.2">
      <c r="A807" s="804" t="s">
        <v>595</v>
      </c>
      <c r="B807" s="805"/>
      <c r="C807" s="805"/>
      <c r="D807" s="805"/>
      <c r="E807" s="805"/>
      <c r="F807" s="806"/>
      <c r="G807" s="252">
        <v>0.1</v>
      </c>
      <c r="H807" s="253">
        <f>D808-D808*G807</f>
        <v>7952130</v>
      </c>
      <c r="I807" s="253"/>
      <c r="J807" s="253">
        <f>H807-D829</f>
        <v>5235152.25</v>
      </c>
    </row>
    <row r="808" spans="1:10" ht="18.75" x14ac:dyDescent="0.2">
      <c r="A808" s="173">
        <v>1</v>
      </c>
      <c r="B808" s="254" t="s">
        <v>352</v>
      </c>
      <c r="C808" s="175"/>
      <c r="D808" s="798">
        <v>8835700</v>
      </c>
      <c r="E808" s="799"/>
      <c r="F808" s="800"/>
      <c r="G808" s="252">
        <v>0.15</v>
      </c>
      <c r="H808" s="253">
        <f>D808-D808*G808</f>
        <v>7510345</v>
      </c>
      <c r="I808" s="253"/>
      <c r="J808" s="253">
        <f>H808-D829</f>
        <v>4793367.25</v>
      </c>
    </row>
    <row r="809" spans="1:10" ht="18.75" x14ac:dyDescent="0.2">
      <c r="A809" s="173">
        <v>2</v>
      </c>
      <c r="B809" s="254" t="s">
        <v>393</v>
      </c>
      <c r="C809" s="255"/>
      <c r="D809" s="256">
        <v>250000</v>
      </c>
      <c r="E809" s="177"/>
      <c r="F809" s="178"/>
      <c r="G809" s="252">
        <v>0.2</v>
      </c>
      <c r="H809" s="253">
        <f>D808-D808*G809</f>
        <v>7068560</v>
      </c>
      <c r="I809" s="253"/>
      <c r="J809" s="253">
        <f>H809-D829</f>
        <v>4351582.25</v>
      </c>
    </row>
    <row r="810" spans="1:10" ht="18.75" x14ac:dyDescent="0.2">
      <c r="A810" s="173"/>
      <c r="B810" s="254" t="s">
        <v>596</v>
      </c>
      <c r="C810" s="255"/>
      <c r="D810" s="256"/>
      <c r="E810" s="177"/>
      <c r="F810" s="178"/>
      <c r="G810" s="252">
        <v>0.25</v>
      </c>
      <c r="H810" s="253">
        <f>D808-D808*G810</f>
        <v>6626775</v>
      </c>
      <c r="I810" s="253"/>
      <c r="J810" s="253">
        <f>H810-D829</f>
        <v>3909797.2499999995</v>
      </c>
    </row>
    <row r="811" spans="1:10" ht="43.5" x14ac:dyDescent="0.2">
      <c r="A811" s="173">
        <v>3</v>
      </c>
      <c r="B811" s="257" t="s">
        <v>354</v>
      </c>
      <c r="C811" s="258">
        <v>0.5</v>
      </c>
      <c r="D811" s="259">
        <f>D808*C811</f>
        <v>4417850</v>
      </c>
      <c r="E811" s="177"/>
      <c r="F811" s="178"/>
      <c r="G811" s="252"/>
      <c r="H811" s="253"/>
      <c r="I811" s="253"/>
      <c r="J811" s="253"/>
    </row>
    <row r="812" spans="1:10" x14ac:dyDescent="0.2">
      <c r="A812" s="173">
        <v>4</v>
      </c>
      <c r="B812" s="260" t="s">
        <v>355</v>
      </c>
      <c r="C812" s="258">
        <v>7.0000000000000007E-2</v>
      </c>
      <c r="D812" s="261">
        <f>C812*D811</f>
        <v>309249.50000000006</v>
      </c>
      <c r="E812" s="177"/>
      <c r="F812" s="178"/>
    </row>
    <row r="813" spans="1:10" x14ac:dyDescent="0.2">
      <c r="A813" s="173">
        <v>5</v>
      </c>
      <c r="B813" s="260" t="s">
        <v>356</v>
      </c>
      <c r="C813" s="258">
        <v>0.04</v>
      </c>
      <c r="D813" s="261">
        <f>D811*C813</f>
        <v>176714</v>
      </c>
      <c r="E813" s="178"/>
      <c r="F813" s="178"/>
    </row>
    <row r="814" spans="1:10" x14ac:dyDescent="0.2">
      <c r="A814" s="173">
        <v>6</v>
      </c>
      <c r="B814" s="260" t="s">
        <v>357</v>
      </c>
      <c r="C814" s="258">
        <v>7.0000000000000007E-2</v>
      </c>
      <c r="D814" s="261">
        <f>D811*C814</f>
        <v>309249.50000000006</v>
      </c>
      <c r="E814" s="177"/>
      <c r="F814" s="178"/>
    </row>
    <row r="815" spans="1:10" x14ac:dyDescent="0.2">
      <c r="A815" s="173"/>
      <c r="B815" s="260" t="s">
        <v>597</v>
      </c>
      <c r="C815" s="258">
        <v>7.0000000000000007E-2</v>
      </c>
      <c r="D815" s="261"/>
      <c r="E815" s="177"/>
      <c r="F815" s="178" t="s">
        <v>359</v>
      </c>
    </row>
    <row r="816" spans="1:10" x14ac:dyDescent="0.2">
      <c r="A816" s="173">
        <v>7</v>
      </c>
      <c r="B816" s="260" t="s">
        <v>360</v>
      </c>
      <c r="C816" s="258">
        <v>7.0000000000000007E-2</v>
      </c>
      <c r="D816" s="261">
        <f>C816*D811</f>
        <v>309249.50000000006</v>
      </c>
      <c r="E816" s="177"/>
      <c r="F816" s="178" t="s">
        <v>359</v>
      </c>
    </row>
    <row r="817" spans="1:6" x14ac:dyDescent="0.2">
      <c r="A817" s="173">
        <v>8</v>
      </c>
      <c r="B817" s="260" t="s">
        <v>361</v>
      </c>
      <c r="C817" s="258">
        <v>0.1</v>
      </c>
      <c r="D817" s="261">
        <f>C817*D811</f>
        <v>441785</v>
      </c>
      <c r="E817" s="177"/>
      <c r="F817" s="178"/>
    </row>
    <row r="818" spans="1:6" x14ac:dyDescent="0.2">
      <c r="A818" s="173"/>
      <c r="B818" s="260" t="s">
        <v>598</v>
      </c>
      <c r="C818" s="258"/>
      <c r="D818" s="261"/>
      <c r="E818" s="177"/>
      <c r="F818" s="178"/>
    </row>
    <row r="819" spans="1:6" x14ac:dyDescent="0.2">
      <c r="A819" s="173">
        <v>9</v>
      </c>
      <c r="B819" s="254" t="s">
        <v>599</v>
      </c>
      <c r="C819" s="263">
        <v>0.06</v>
      </c>
      <c r="D819" s="256">
        <f>D811*C819</f>
        <v>265071</v>
      </c>
      <c r="E819" s="176"/>
      <c r="F819" s="178"/>
    </row>
    <row r="820" spans="1:6" x14ac:dyDescent="0.2">
      <c r="A820" s="173">
        <v>10</v>
      </c>
      <c r="B820" s="254" t="s">
        <v>600</v>
      </c>
      <c r="C820" s="263">
        <v>0.04</v>
      </c>
      <c r="D820" s="256">
        <f>D811*C820</f>
        <v>176714</v>
      </c>
      <c r="E820" s="177"/>
      <c r="F820" s="178"/>
    </row>
    <row r="821" spans="1:6" x14ac:dyDescent="0.2">
      <c r="A821" s="173"/>
      <c r="B821" s="254" t="s">
        <v>601</v>
      </c>
      <c r="C821" s="263"/>
      <c r="D821" s="256"/>
      <c r="E821" s="177"/>
      <c r="F821" s="178"/>
    </row>
    <row r="822" spans="1:6" x14ac:dyDescent="0.2">
      <c r="A822" s="173"/>
      <c r="B822" s="254" t="s">
        <v>259</v>
      </c>
      <c r="C822" s="263"/>
      <c r="D822" s="256"/>
      <c r="E822" s="177"/>
      <c r="F822" s="178"/>
    </row>
    <row r="823" spans="1:6" x14ac:dyDescent="0.2">
      <c r="A823" s="173">
        <v>11</v>
      </c>
      <c r="B823" s="254" t="s">
        <v>260</v>
      </c>
      <c r="C823" s="263">
        <v>3.5000000000000003E-2</v>
      </c>
      <c r="D823" s="256">
        <f>C823*D811</f>
        <v>154624.75000000003</v>
      </c>
      <c r="E823" s="177"/>
      <c r="F823" s="178"/>
    </row>
    <row r="824" spans="1:6" x14ac:dyDescent="0.2">
      <c r="A824" s="173"/>
      <c r="B824" s="254" t="s">
        <v>261</v>
      </c>
      <c r="C824" s="263"/>
      <c r="D824" s="256"/>
      <c r="E824" s="177"/>
      <c r="F824" s="178"/>
    </row>
    <row r="825" spans="1:6" x14ac:dyDescent="0.2">
      <c r="A825" s="173"/>
      <c r="B825" s="254" t="s">
        <v>602</v>
      </c>
      <c r="C825" s="263"/>
      <c r="D825" s="256"/>
      <c r="E825" s="177"/>
      <c r="F825" s="178"/>
    </row>
    <row r="826" spans="1:6" x14ac:dyDescent="0.2">
      <c r="A826" s="173">
        <v>12</v>
      </c>
      <c r="B826" s="254" t="s">
        <v>262</v>
      </c>
      <c r="C826" s="263">
        <v>0.02</v>
      </c>
      <c r="D826" s="256">
        <f>C826*D811</f>
        <v>88357</v>
      </c>
      <c r="E826" s="177"/>
      <c r="F826" s="178"/>
    </row>
    <row r="827" spans="1:6" x14ac:dyDescent="0.2">
      <c r="A827" s="173">
        <v>13</v>
      </c>
      <c r="B827" s="254" t="s">
        <v>205</v>
      </c>
      <c r="C827" s="263">
        <v>0.06</v>
      </c>
      <c r="D827" s="256">
        <f>C827*D811</f>
        <v>265071</v>
      </c>
      <c r="E827" s="176"/>
      <c r="F827" s="178" t="s">
        <v>359</v>
      </c>
    </row>
    <row r="828" spans="1:6" ht="30" x14ac:dyDescent="0.2">
      <c r="A828" s="173"/>
      <c r="B828" s="254" t="s">
        <v>100</v>
      </c>
      <c r="C828" s="263">
        <v>0.05</v>
      </c>
      <c r="D828" s="256">
        <f>C828*D811</f>
        <v>220892.5</v>
      </c>
      <c r="E828" s="187"/>
      <c r="F828" s="177"/>
    </row>
    <row r="829" spans="1:6" x14ac:dyDescent="0.2">
      <c r="A829" s="173"/>
      <c r="B829" s="264" t="s">
        <v>374</v>
      </c>
      <c r="C829" s="265">
        <f>SUM(C812:C828)</f>
        <v>0.68500000000000005</v>
      </c>
      <c r="D829" s="266">
        <f>SUM(D812:D828)</f>
        <v>2716977.7500000005</v>
      </c>
      <c r="E829" s="187"/>
      <c r="F829" s="177"/>
    </row>
    <row r="830" spans="1:6" x14ac:dyDescent="0.2">
      <c r="A830" s="173"/>
      <c r="B830" s="264" t="s">
        <v>132</v>
      </c>
      <c r="C830" s="265">
        <v>0.1</v>
      </c>
      <c r="D830" s="256">
        <f>C830*D811</f>
        <v>441785</v>
      </c>
      <c r="E830" s="187"/>
      <c r="F830" s="177"/>
    </row>
    <row r="831" spans="1:6" ht="28.5" x14ac:dyDescent="0.2">
      <c r="A831" s="267"/>
      <c r="B831" s="264" t="s">
        <v>275</v>
      </c>
      <c r="C831" s="265">
        <f>D831/D808</f>
        <v>0.61420569394615032</v>
      </c>
      <c r="D831" s="256">
        <f>D808-D829-D830-D809</f>
        <v>5426937.25</v>
      </c>
      <c r="E831" s="177"/>
      <c r="F831" s="177"/>
    </row>
    <row r="832" spans="1:6" ht="28.5" x14ac:dyDescent="0.2">
      <c r="A832" s="267"/>
      <c r="B832" s="264" t="s">
        <v>375</v>
      </c>
      <c r="C832" s="268">
        <f>D832/D808</f>
        <v>0.66420569394615026</v>
      </c>
      <c r="D832" s="269">
        <f>D831+D830</f>
        <v>5868722.25</v>
      </c>
      <c r="E832" s="177"/>
      <c r="F832" s="177"/>
    </row>
    <row r="833" spans="1:7" ht="48" customHeight="1" x14ac:dyDescent="0.2">
      <c r="A833" s="804" t="s">
        <v>603</v>
      </c>
      <c r="B833" s="805"/>
      <c r="C833" s="805"/>
      <c r="D833" s="805"/>
      <c r="E833" s="805"/>
      <c r="F833" s="806"/>
    </row>
    <row r="834" spans="1:7" x14ac:dyDescent="0.2">
      <c r="A834" s="173">
        <v>1</v>
      </c>
      <c r="B834" s="254" t="s">
        <v>352</v>
      </c>
      <c r="C834" s="175"/>
      <c r="D834" s="798">
        <v>5400000</v>
      </c>
      <c r="E834" s="799"/>
      <c r="F834" s="800"/>
      <c r="G834" s="180" t="s">
        <v>604</v>
      </c>
    </row>
    <row r="835" spans="1:7" x14ac:dyDescent="0.2">
      <c r="A835" s="173">
        <v>2</v>
      </c>
      <c r="B835" s="254" t="s">
        <v>393</v>
      </c>
      <c r="C835" s="255"/>
      <c r="D835" s="256">
        <v>0</v>
      </c>
      <c r="E835" s="177"/>
      <c r="F835" s="178"/>
    </row>
    <row r="836" spans="1:7" ht="43.5" x14ac:dyDescent="0.2">
      <c r="A836" s="173">
        <v>3</v>
      </c>
      <c r="B836" s="257" t="s">
        <v>354</v>
      </c>
      <c r="C836" s="258">
        <v>0.5</v>
      </c>
      <c r="D836" s="259">
        <f>D834*C836</f>
        <v>2700000</v>
      </c>
      <c r="E836" s="177"/>
      <c r="F836" s="178"/>
    </row>
    <row r="837" spans="1:7" x14ac:dyDescent="0.2">
      <c r="A837" s="173">
        <v>4</v>
      </c>
      <c r="B837" s="260" t="s">
        <v>355</v>
      </c>
      <c r="C837" s="258">
        <v>7.0000000000000007E-2</v>
      </c>
      <c r="D837" s="261">
        <f>C837*D836</f>
        <v>189000.00000000003</v>
      </c>
      <c r="E837" s="177"/>
      <c r="F837" s="178"/>
    </row>
    <row r="838" spans="1:7" x14ac:dyDescent="0.2">
      <c r="A838" s="173">
        <v>5</v>
      </c>
      <c r="B838" s="260" t="s">
        <v>356</v>
      </c>
      <c r="C838" s="258">
        <v>0.04</v>
      </c>
      <c r="D838" s="261">
        <f>D836*C838</f>
        <v>108000</v>
      </c>
      <c r="E838" s="178"/>
      <c r="F838" s="178"/>
    </row>
    <row r="839" spans="1:7" x14ac:dyDescent="0.2">
      <c r="A839" s="173">
        <v>6</v>
      </c>
      <c r="B839" s="260" t="s">
        <v>357</v>
      </c>
      <c r="C839" s="258">
        <v>0.1</v>
      </c>
      <c r="D839" s="261">
        <f>D836*C839</f>
        <v>270000</v>
      </c>
      <c r="E839" s="177"/>
      <c r="F839" s="178"/>
    </row>
    <row r="840" spans="1:7" x14ac:dyDescent="0.2">
      <c r="A840" s="173">
        <v>7</v>
      </c>
      <c r="B840" s="260" t="s">
        <v>360</v>
      </c>
      <c r="C840" s="258">
        <v>0.35</v>
      </c>
      <c r="D840" s="261">
        <f>C840*D836</f>
        <v>944999.99999999988</v>
      </c>
      <c r="E840" s="177"/>
      <c r="F840" s="178" t="s">
        <v>605</v>
      </c>
    </row>
    <row r="841" spans="1:7" ht="31.5" x14ac:dyDescent="0.2">
      <c r="A841" s="173">
        <v>12</v>
      </c>
      <c r="B841" s="254" t="s">
        <v>319</v>
      </c>
      <c r="C841" s="263">
        <v>0.02</v>
      </c>
      <c r="D841" s="256">
        <f>C841*D836</f>
        <v>54000</v>
      </c>
      <c r="E841" s="177"/>
      <c r="F841" s="178" t="s">
        <v>606</v>
      </c>
    </row>
    <row r="842" spans="1:7" ht="30" x14ac:dyDescent="0.2">
      <c r="A842" s="173"/>
      <c r="B842" s="254" t="s">
        <v>100</v>
      </c>
      <c r="C842" s="263">
        <v>0.05</v>
      </c>
      <c r="D842" s="256">
        <f>C842*D836</f>
        <v>135000</v>
      </c>
      <c r="E842" s="187"/>
      <c r="F842" s="177"/>
    </row>
    <row r="843" spans="1:7" x14ac:dyDescent="0.2">
      <c r="A843" s="173"/>
      <c r="B843" s="264" t="s">
        <v>374</v>
      </c>
      <c r="C843" s="265">
        <f>SUM(C837:C842)</f>
        <v>0.63000000000000012</v>
      </c>
      <c r="D843" s="266">
        <f>SUM(D837:D842)</f>
        <v>1701000</v>
      </c>
      <c r="E843" s="187"/>
      <c r="F843" s="177"/>
    </row>
    <row r="844" spans="1:7" x14ac:dyDescent="0.2">
      <c r="A844" s="173"/>
      <c r="B844" s="264" t="s">
        <v>132</v>
      </c>
      <c r="C844" s="265">
        <v>0.15</v>
      </c>
      <c r="D844" s="256">
        <f>C844*D836</f>
        <v>405000</v>
      </c>
      <c r="E844" s="187"/>
      <c r="F844" s="177"/>
    </row>
    <row r="845" spans="1:7" ht="28.5" x14ac:dyDescent="0.2">
      <c r="A845" s="267"/>
      <c r="B845" s="264" t="s">
        <v>275</v>
      </c>
      <c r="C845" s="265">
        <f>D845/D834</f>
        <v>0.61</v>
      </c>
      <c r="D845" s="256">
        <f>D834-D843-D844-D835</f>
        <v>3294000</v>
      </c>
      <c r="E845" s="177"/>
      <c r="F845" s="177"/>
    </row>
    <row r="846" spans="1:7" ht="28.5" x14ac:dyDescent="0.2">
      <c r="A846" s="267"/>
      <c r="B846" s="264" t="s">
        <v>375</v>
      </c>
      <c r="C846" s="268">
        <f>D846/D834</f>
        <v>0.68500000000000005</v>
      </c>
      <c r="D846" s="269">
        <f>D845+D844</f>
        <v>3699000</v>
      </c>
      <c r="E846" s="177"/>
      <c r="F846" s="177"/>
    </row>
    <row r="847" spans="1:7" ht="60" customHeight="1" x14ac:dyDescent="0.2">
      <c r="A847" s="804" t="s">
        <v>607</v>
      </c>
      <c r="B847" s="805"/>
      <c r="C847" s="805"/>
      <c r="D847" s="805"/>
      <c r="E847" s="805"/>
      <c r="F847" s="806"/>
    </row>
    <row r="848" spans="1:7" x14ac:dyDescent="0.2">
      <c r="A848" s="173">
        <v>1</v>
      </c>
      <c r="B848" s="254" t="s">
        <v>352</v>
      </c>
      <c r="C848" s="175"/>
      <c r="D848" s="798">
        <v>6270000</v>
      </c>
      <c r="E848" s="799"/>
      <c r="F848" s="800"/>
    </row>
    <row r="849" spans="1:6" x14ac:dyDescent="0.2">
      <c r="A849" s="173">
        <v>2</v>
      </c>
      <c r="B849" s="254" t="s">
        <v>393</v>
      </c>
      <c r="C849" s="255"/>
      <c r="D849" s="256">
        <v>0</v>
      </c>
      <c r="E849" s="177"/>
      <c r="F849" s="178"/>
    </row>
    <row r="850" spans="1:6" ht="43.5" x14ac:dyDescent="0.2">
      <c r="A850" s="173">
        <v>3</v>
      </c>
      <c r="B850" s="257" t="s">
        <v>354</v>
      </c>
      <c r="C850" s="258">
        <v>0.5</v>
      </c>
      <c r="D850" s="259">
        <f>D848*C850</f>
        <v>3135000</v>
      </c>
      <c r="E850" s="177"/>
      <c r="F850" s="178"/>
    </row>
    <row r="851" spans="1:6" x14ac:dyDescent="0.2">
      <c r="A851" s="173">
        <v>4</v>
      </c>
      <c r="B851" s="260" t="s">
        <v>355</v>
      </c>
      <c r="C851" s="258">
        <v>0.03</v>
      </c>
      <c r="D851" s="261">
        <f>C851*D850</f>
        <v>94050</v>
      </c>
      <c r="E851" s="177"/>
      <c r="F851" s="178"/>
    </row>
    <row r="852" spans="1:6" x14ac:dyDescent="0.2">
      <c r="A852" s="173">
        <v>5</v>
      </c>
      <c r="B852" s="260" t="s">
        <v>356</v>
      </c>
      <c r="C852" s="258">
        <v>0.04</v>
      </c>
      <c r="D852" s="261">
        <f>D850*C852</f>
        <v>125400</v>
      </c>
      <c r="E852" s="178"/>
      <c r="F852" s="178"/>
    </row>
    <row r="853" spans="1:6" x14ac:dyDescent="0.2">
      <c r="A853" s="173">
        <v>6</v>
      </c>
      <c r="B853" s="260" t="s">
        <v>357</v>
      </c>
      <c r="C853" s="258">
        <v>0.1</v>
      </c>
      <c r="D853" s="261">
        <f>D850*C853</f>
        <v>313500</v>
      </c>
      <c r="E853" s="177"/>
      <c r="F853" s="178"/>
    </row>
    <row r="854" spans="1:6" x14ac:dyDescent="0.2">
      <c r="A854" s="173">
        <v>7</v>
      </c>
      <c r="B854" s="260" t="s">
        <v>608</v>
      </c>
      <c r="C854" s="258">
        <v>0.3</v>
      </c>
      <c r="D854" s="261">
        <f>C854*D850</f>
        <v>940500</v>
      </c>
      <c r="E854" s="177"/>
      <c r="F854" s="178" t="s">
        <v>609</v>
      </c>
    </row>
    <row r="855" spans="1:6" x14ac:dyDescent="0.2">
      <c r="A855" s="173">
        <v>12</v>
      </c>
      <c r="B855" s="260" t="s">
        <v>610</v>
      </c>
      <c r="C855" s="263">
        <v>0.15</v>
      </c>
      <c r="D855" s="256">
        <f>C855*D850</f>
        <v>470250</v>
      </c>
      <c r="E855" s="177"/>
      <c r="F855" s="178" t="s">
        <v>611</v>
      </c>
    </row>
    <row r="856" spans="1:6" ht="30" x14ac:dyDescent="0.2">
      <c r="A856" s="173"/>
      <c r="B856" s="254" t="s">
        <v>100</v>
      </c>
      <c r="C856" s="263">
        <v>0.05</v>
      </c>
      <c r="D856" s="256">
        <f>C856*D850</f>
        <v>156750</v>
      </c>
      <c r="E856" s="187"/>
      <c r="F856" s="177"/>
    </row>
    <row r="857" spans="1:6" x14ac:dyDescent="0.2">
      <c r="A857" s="173"/>
      <c r="B857" s="264" t="s">
        <v>374</v>
      </c>
      <c r="C857" s="265">
        <f>SUM(C851:C856)</f>
        <v>0.67</v>
      </c>
      <c r="D857" s="266">
        <f>SUM(D851:D856)</f>
        <v>2100450</v>
      </c>
      <c r="E857" s="187"/>
      <c r="F857" s="177"/>
    </row>
    <row r="858" spans="1:6" x14ac:dyDescent="0.2">
      <c r="A858" s="173"/>
      <c r="B858" s="264" t="s">
        <v>132</v>
      </c>
      <c r="C858" s="265">
        <v>0.15</v>
      </c>
      <c r="D858" s="256">
        <f>C858*D850</f>
        <v>470250</v>
      </c>
      <c r="E858" s="187"/>
      <c r="F858" s="177"/>
    </row>
    <row r="859" spans="1:6" ht="28.5" x14ac:dyDescent="0.2">
      <c r="A859" s="267"/>
      <c r="B859" s="264" t="s">
        <v>275</v>
      </c>
      <c r="C859" s="265">
        <f>D859/D848</f>
        <v>0.59</v>
      </c>
      <c r="D859" s="256">
        <f>D848-D857-D858-D849</f>
        <v>3699300</v>
      </c>
      <c r="E859" s="177"/>
      <c r="F859" s="177"/>
    </row>
    <row r="860" spans="1:6" ht="28.5" x14ac:dyDescent="0.2">
      <c r="A860" s="267"/>
      <c r="B860" s="264" t="s">
        <v>375</v>
      </c>
      <c r="C860" s="268">
        <f>D860/D848</f>
        <v>0.66500000000000004</v>
      </c>
      <c r="D860" s="269">
        <f>D859+D858</f>
        <v>4169550</v>
      </c>
      <c r="E860" s="177"/>
      <c r="F860" s="177"/>
    </row>
    <row r="861" spans="1:6" ht="81.75" customHeight="1" x14ac:dyDescent="0.2">
      <c r="A861" s="813" t="s">
        <v>612</v>
      </c>
      <c r="B861" s="814"/>
      <c r="C861" s="814"/>
      <c r="D861" s="814"/>
      <c r="E861" s="815"/>
      <c r="F861" s="816"/>
    </row>
    <row r="862" spans="1:6" ht="18.75" x14ac:dyDescent="0.2">
      <c r="A862" s="198">
        <v>1</v>
      </c>
      <c r="B862" s="1015" t="s">
        <v>352</v>
      </c>
      <c r="C862" s="1016"/>
      <c r="D862" s="803">
        <v>34000000</v>
      </c>
      <c r="E862" s="803"/>
      <c r="F862" s="803"/>
    </row>
    <row r="863" spans="1:6" ht="18.75" x14ac:dyDescent="0.2">
      <c r="A863" s="198"/>
      <c r="B863" s="201"/>
      <c r="C863" s="200"/>
      <c r="D863" s="202"/>
      <c r="E863" s="202"/>
      <c r="F863" s="203"/>
    </row>
    <row r="864" spans="1:6" ht="18.75" x14ac:dyDescent="0.2">
      <c r="A864" s="464">
        <v>2</v>
      </c>
      <c r="B864" s="465" t="s">
        <v>8</v>
      </c>
      <c r="C864" s="466"/>
      <c r="D864" s="467">
        <f>SUM(D865:D869)</f>
        <v>1800000</v>
      </c>
      <c r="E864" s="467"/>
      <c r="F864" s="468"/>
    </row>
    <row r="865" spans="1:6" ht="37.5" x14ac:dyDescent="0.2">
      <c r="A865" s="469" t="s">
        <v>613</v>
      </c>
      <c r="B865" s="339" t="s">
        <v>614</v>
      </c>
      <c r="C865" s="340"/>
      <c r="D865" s="341">
        <v>640000</v>
      </c>
      <c r="E865" s="341"/>
      <c r="F865" s="470"/>
    </row>
    <row r="866" spans="1:6" ht="37.5" x14ac:dyDescent="0.2">
      <c r="A866" s="469" t="s">
        <v>615</v>
      </c>
      <c r="B866" s="339" t="s">
        <v>616</v>
      </c>
      <c r="C866" s="340"/>
      <c r="D866" s="341">
        <v>230000</v>
      </c>
      <c r="E866" s="341"/>
      <c r="F866" s="470"/>
    </row>
    <row r="867" spans="1:6" ht="37.5" x14ac:dyDescent="0.2">
      <c r="A867" s="469" t="s">
        <v>617</v>
      </c>
      <c r="B867" s="339" t="s">
        <v>618</v>
      </c>
      <c r="C867" s="340"/>
      <c r="D867" s="341">
        <v>590000</v>
      </c>
      <c r="E867" s="341"/>
      <c r="F867" s="470"/>
    </row>
    <row r="868" spans="1:6" ht="56.25" x14ac:dyDescent="0.2">
      <c r="A868" s="469" t="s">
        <v>619</v>
      </c>
      <c r="B868" s="339" t="s">
        <v>620</v>
      </c>
      <c r="C868" s="340"/>
      <c r="D868" s="341">
        <v>190000</v>
      </c>
      <c r="E868" s="341"/>
      <c r="F868" s="470"/>
    </row>
    <row r="869" spans="1:6" ht="37.5" x14ac:dyDescent="0.2">
      <c r="A869" s="469" t="s">
        <v>621</v>
      </c>
      <c r="B869" s="339" t="s">
        <v>622</v>
      </c>
      <c r="C869" s="340"/>
      <c r="D869" s="341">
        <v>150000</v>
      </c>
      <c r="E869" s="341"/>
      <c r="F869" s="470"/>
    </row>
    <row r="870" spans="1:6" ht="18.75" x14ac:dyDescent="0.2">
      <c r="A870" s="471" t="s">
        <v>623</v>
      </c>
      <c r="B870" s="199" t="s">
        <v>624</v>
      </c>
      <c r="C870" s="200"/>
      <c r="D870" s="202">
        <v>1500000</v>
      </c>
      <c r="E870" s="202"/>
      <c r="F870" s="203"/>
    </row>
    <row r="871" spans="1:6" ht="37.5" x14ac:dyDescent="0.2">
      <c r="A871" s="471" t="s">
        <v>625</v>
      </c>
      <c r="B871" s="199" t="s">
        <v>626</v>
      </c>
      <c r="C871" s="200"/>
      <c r="D871" s="202">
        <v>1850000</v>
      </c>
      <c r="E871" s="202"/>
      <c r="F871" s="203"/>
    </row>
    <row r="872" spans="1:6" ht="18.75" x14ac:dyDescent="0.2">
      <c r="A872" s="472" t="s">
        <v>627</v>
      </c>
      <c r="B872" s="473" t="s">
        <v>289</v>
      </c>
      <c r="C872" s="474">
        <v>0.6</v>
      </c>
      <c r="D872" s="475">
        <f>D862*C872</f>
        <v>20400000</v>
      </c>
      <c r="E872" s="476"/>
      <c r="F872" s="477"/>
    </row>
    <row r="873" spans="1:6" ht="18.75" x14ac:dyDescent="0.2">
      <c r="A873" s="478" t="s">
        <v>628</v>
      </c>
      <c r="B873" s="479" t="s">
        <v>336</v>
      </c>
      <c r="C873" s="480">
        <v>2.5000000000000001E-2</v>
      </c>
      <c r="D873" s="481">
        <f>C873*D872</f>
        <v>510000</v>
      </c>
      <c r="E873" s="482"/>
      <c r="F873" s="483"/>
    </row>
    <row r="874" spans="1:6" ht="18.75" x14ac:dyDescent="0.2">
      <c r="A874" s="484" t="s">
        <v>629</v>
      </c>
      <c r="B874" s="479" t="s">
        <v>357</v>
      </c>
      <c r="C874" s="480">
        <v>0.04</v>
      </c>
      <c r="D874" s="485">
        <f>D872*C874</f>
        <v>816000</v>
      </c>
      <c r="E874" s="486"/>
      <c r="F874" s="363"/>
    </row>
    <row r="875" spans="1:6" ht="18.75" x14ac:dyDescent="0.2">
      <c r="A875" s="478" t="s">
        <v>630</v>
      </c>
      <c r="B875" s="479" t="s">
        <v>631</v>
      </c>
      <c r="C875" s="480">
        <v>0.04</v>
      </c>
      <c r="D875" s="485">
        <f>C875*D872</f>
        <v>816000</v>
      </c>
      <c r="E875" s="487"/>
      <c r="F875" s="488"/>
    </row>
    <row r="876" spans="1:6" ht="37.5" x14ac:dyDescent="0.2">
      <c r="A876" s="478" t="s">
        <v>632</v>
      </c>
      <c r="B876" s="479" t="s">
        <v>633</v>
      </c>
      <c r="C876" s="489">
        <v>0.04</v>
      </c>
      <c r="D876" s="318">
        <f>D872*C876</f>
        <v>816000</v>
      </c>
      <c r="E876" s="490"/>
      <c r="F876" s="319"/>
    </row>
    <row r="877" spans="1:6" ht="18.75" x14ac:dyDescent="0.2">
      <c r="A877" s="484" t="s">
        <v>634</v>
      </c>
      <c r="B877" s="479" t="s">
        <v>20</v>
      </c>
      <c r="C877" s="489">
        <v>1.4999999999999999E-2</v>
      </c>
      <c r="D877" s="318">
        <f>D872*C877</f>
        <v>306000</v>
      </c>
      <c r="E877" s="490"/>
      <c r="F877" s="319"/>
    </row>
    <row r="878" spans="1:6" ht="18.75" x14ac:dyDescent="0.2">
      <c r="A878" s="478" t="s">
        <v>635</v>
      </c>
      <c r="B878" s="479" t="s">
        <v>267</v>
      </c>
      <c r="C878" s="489">
        <v>7.0000000000000007E-2</v>
      </c>
      <c r="D878" s="318">
        <f>D872*C878</f>
        <v>1428000.0000000002</v>
      </c>
      <c r="E878" s="490"/>
      <c r="F878" s="319"/>
    </row>
    <row r="879" spans="1:6" ht="18.75" x14ac:dyDescent="0.2">
      <c r="A879" s="478" t="s">
        <v>636</v>
      </c>
      <c r="B879" s="479" t="s">
        <v>256</v>
      </c>
      <c r="C879" s="489">
        <v>0.1</v>
      </c>
      <c r="D879" s="318">
        <f>D872*C879</f>
        <v>2040000</v>
      </c>
      <c r="E879" s="490"/>
      <c r="F879" s="319"/>
    </row>
    <row r="880" spans="1:6" ht="18.75" x14ac:dyDescent="0.2">
      <c r="A880" s="484" t="s">
        <v>637</v>
      </c>
      <c r="B880" s="479" t="s">
        <v>319</v>
      </c>
      <c r="C880" s="489">
        <v>3.5000000000000003E-2</v>
      </c>
      <c r="D880" s="318">
        <f>D872*C880</f>
        <v>714000.00000000012</v>
      </c>
      <c r="E880" s="490"/>
      <c r="F880" s="319"/>
    </row>
    <row r="881" spans="1:6" ht="18.75" x14ac:dyDescent="0.2">
      <c r="A881" s="478" t="s">
        <v>638</v>
      </c>
      <c r="B881" s="479" t="s">
        <v>294</v>
      </c>
      <c r="C881" s="489">
        <v>2.5000000000000001E-2</v>
      </c>
      <c r="D881" s="318">
        <f>D872*C881</f>
        <v>510000</v>
      </c>
      <c r="E881" s="490"/>
      <c r="F881" s="319"/>
    </row>
    <row r="882" spans="1:6" ht="18.75" x14ac:dyDescent="0.2">
      <c r="A882" s="478" t="s">
        <v>639</v>
      </c>
      <c r="B882" s="479" t="s">
        <v>322</v>
      </c>
      <c r="C882" s="489">
        <v>2.5000000000000001E-2</v>
      </c>
      <c r="D882" s="318">
        <f>D872*C882</f>
        <v>510000</v>
      </c>
      <c r="E882" s="490"/>
      <c r="F882" s="319"/>
    </row>
    <row r="883" spans="1:6" ht="18.75" x14ac:dyDescent="0.2">
      <c r="A883" s="484" t="s">
        <v>640</v>
      </c>
      <c r="B883" s="479" t="s">
        <v>323</v>
      </c>
      <c r="C883" s="489">
        <v>3.5000000000000003E-2</v>
      </c>
      <c r="D883" s="318">
        <f>D872*C883</f>
        <v>714000.00000000012</v>
      </c>
      <c r="E883" s="490"/>
      <c r="F883" s="319"/>
    </row>
    <row r="884" spans="1:6" ht="18.75" x14ac:dyDescent="0.2">
      <c r="A884" s="478" t="s">
        <v>641</v>
      </c>
      <c r="B884" s="479" t="s">
        <v>642</v>
      </c>
      <c r="C884" s="489">
        <v>2.5000000000000001E-2</v>
      </c>
      <c r="D884" s="318">
        <f>D872*C884</f>
        <v>510000</v>
      </c>
      <c r="E884" s="490"/>
      <c r="F884" s="319"/>
    </row>
    <row r="885" spans="1:6" ht="18.75" x14ac:dyDescent="0.2">
      <c r="A885" s="478" t="s">
        <v>643</v>
      </c>
      <c r="B885" s="479" t="s">
        <v>259</v>
      </c>
      <c r="C885" s="489">
        <v>3.5000000000000003E-2</v>
      </c>
      <c r="D885" s="318">
        <f>D872*C885</f>
        <v>714000.00000000012</v>
      </c>
      <c r="E885" s="490"/>
      <c r="F885" s="319"/>
    </row>
    <row r="886" spans="1:6" ht="18.75" x14ac:dyDescent="0.2">
      <c r="A886" s="484" t="s">
        <v>644</v>
      </c>
      <c r="B886" s="479" t="s">
        <v>260</v>
      </c>
      <c r="C886" s="489">
        <v>1.4999999999999999E-2</v>
      </c>
      <c r="D886" s="318">
        <f>D872*C886</f>
        <v>306000</v>
      </c>
      <c r="E886" s="490"/>
      <c r="F886" s="319"/>
    </row>
    <row r="887" spans="1:6" ht="18.75" x14ac:dyDescent="0.2">
      <c r="A887" s="478" t="s">
        <v>645</v>
      </c>
      <c r="B887" s="479" t="s">
        <v>272</v>
      </c>
      <c r="C887" s="489">
        <v>0.03</v>
      </c>
      <c r="D887" s="318">
        <f>D872*C887</f>
        <v>612000</v>
      </c>
      <c r="E887" s="490"/>
      <c r="F887" s="319"/>
    </row>
    <row r="888" spans="1:6" ht="18.75" x14ac:dyDescent="0.2">
      <c r="A888" s="478" t="s">
        <v>646</v>
      </c>
      <c r="B888" s="479" t="s">
        <v>261</v>
      </c>
      <c r="C888" s="489">
        <v>2.5000000000000001E-2</v>
      </c>
      <c r="D888" s="318">
        <f>D872*C888</f>
        <v>510000</v>
      </c>
      <c r="E888" s="490"/>
      <c r="F888" s="319"/>
    </row>
    <row r="889" spans="1:6" ht="18.75" x14ac:dyDescent="0.2">
      <c r="A889" s="484" t="s">
        <v>647</v>
      </c>
      <c r="B889" s="479" t="s">
        <v>273</v>
      </c>
      <c r="C889" s="489">
        <v>7.4999999999999997E-3</v>
      </c>
      <c r="D889" s="318">
        <f>D872*C889</f>
        <v>153000</v>
      </c>
      <c r="E889" s="490"/>
      <c r="F889" s="319"/>
    </row>
    <row r="890" spans="1:6" ht="18.75" x14ac:dyDescent="0.2">
      <c r="A890" s="478" t="s">
        <v>648</v>
      </c>
      <c r="B890" s="479" t="s">
        <v>262</v>
      </c>
      <c r="C890" s="489">
        <v>7.4999999999999997E-3</v>
      </c>
      <c r="D890" s="318">
        <f>D872*C890</f>
        <v>153000</v>
      </c>
      <c r="E890" s="490"/>
      <c r="F890" s="319"/>
    </row>
    <row r="891" spans="1:6" ht="18.75" x14ac:dyDescent="0.2">
      <c r="A891" s="478" t="s">
        <v>649</v>
      </c>
      <c r="B891" s="479" t="s">
        <v>341</v>
      </c>
      <c r="C891" s="489">
        <v>0.05</v>
      </c>
      <c r="D891" s="318">
        <f>D872*C891</f>
        <v>1020000</v>
      </c>
      <c r="E891" s="490"/>
      <c r="F891" s="319"/>
    </row>
    <row r="892" spans="1:6" ht="18.75" x14ac:dyDescent="0.2">
      <c r="A892" s="484" t="s">
        <v>650</v>
      </c>
      <c r="B892" s="479" t="s">
        <v>651</v>
      </c>
      <c r="C892" s="489">
        <v>2.5000000000000001E-3</v>
      </c>
      <c r="D892" s="318">
        <f>C892*D862</f>
        <v>85000</v>
      </c>
      <c r="E892" s="490"/>
      <c r="F892" s="319"/>
    </row>
    <row r="893" spans="1:6" ht="18.75" x14ac:dyDescent="0.2">
      <c r="A893" s="478" t="s">
        <v>652</v>
      </c>
      <c r="B893" s="479" t="s">
        <v>653</v>
      </c>
      <c r="C893" s="489">
        <v>4.4999999999999998E-2</v>
      </c>
      <c r="D893" s="318">
        <f>C893*D872</f>
        <v>918000</v>
      </c>
      <c r="E893" s="490"/>
      <c r="F893" s="319"/>
    </row>
    <row r="894" spans="1:6" ht="18.75" x14ac:dyDescent="0.2">
      <c r="A894" s="491"/>
      <c r="B894" s="473" t="s">
        <v>654</v>
      </c>
      <c r="C894" s="474">
        <f>SUM(C873:C891)</f>
        <v>0.64500000000000024</v>
      </c>
      <c r="D894" s="476">
        <f>SUM(D873:D893)</f>
        <v>14161000</v>
      </c>
      <c r="E894" s="492"/>
      <c r="F894" s="477"/>
    </row>
    <row r="895" spans="1:6" ht="18.75" x14ac:dyDescent="0.2">
      <c r="A895" s="471" t="s">
        <v>655</v>
      </c>
      <c r="B895" s="201" t="s">
        <v>656</v>
      </c>
      <c r="C895" s="206"/>
      <c r="D895" s="202"/>
      <c r="E895" s="207"/>
      <c r="F895" s="203"/>
    </row>
    <row r="896" spans="1:6" ht="18.75" x14ac:dyDescent="0.2">
      <c r="A896" s="471" t="s">
        <v>657</v>
      </c>
      <c r="B896" s="201" t="s">
        <v>343</v>
      </c>
      <c r="C896" s="206">
        <v>2.5000000000000001E-2</v>
      </c>
      <c r="D896" s="202">
        <f>C896*D872</f>
        <v>510000</v>
      </c>
      <c r="E896" s="207"/>
      <c r="F896" s="203"/>
    </row>
    <row r="897" spans="1:6" ht="18.75" x14ac:dyDescent="0.2">
      <c r="A897" s="471" t="s">
        <v>658</v>
      </c>
      <c r="B897" s="201" t="s">
        <v>659</v>
      </c>
      <c r="C897" s="206">
        <v>0.08</v>
      </c>
      <c r="D897" s="202">
        <f>C897*D872</f>
        <v>1632000</v>
      </c>
      <c r="E897" s="207"/>
      <c r="F897" s="203"/>
    </row>
    <row r="898" spans="1:6" ht="18.75" x14ac:dyDescent="0.2">
      <c r="A898" s="471" t="s">
        <v>660</v>
      </c>
      <c r="B898" s="201" t="s">
        <v>132</v>
      </c>
      <c r="C898" s="206">
        <v>0.12</v>
      </c>
      <c r="D898" s="202">
        <f>D862*C898</f>
        <v>4080000</v>
      </c>
      <c r="E898" s="211"/>
      <c r="F898" s="212"/>
    </row>
    <row r="899" spans="1:6" ht="31.5" x14ac:dyDescent="0.2">
      <c r="A899" s="471"/>
      <c r="B899" s="185" t="s">
        <v>284</v>
      </c>
      <c r="C899" s="195">
        <f>D899/D862</f>
        <v>0.24902941176470589</v>
      </c>
      <c r="D899" s="213">
        <f>D862-D864-D870-D871-D894-D896-D897-D898</f>
        <v>8467000</v>
      </c>
      <c r="E899" s="214"/>
      <c r="F899" s="203"/>
    </row>
    <row r="900" spans="1:6" ht="19.5" x14ac:dyDescent="0.2">
      <c r="A900" s="471"/>
      <c r="B900" s="215" t="s">
        <v>661</v>
      </c>
      <c r="C900" s="195">
        <f>D899/D862</f>
        <v>0.24902941176470589</v>
      </c>
      <c r="D900" s="202">
        <f>D898+D899</f>
        <v>12547000</v>
      </c>
      <c r="E900" s="214"/>
      <c r="F900" s="203"/>
    </row>
    <row r="901" spans="1:6" x14ac:dyDescent="0.2">
      <c r="A901" s="218"/>
      <c r="B901" s="219" t="s">
        <v>301</v>
      </c>
      <c r="C901" s="220"/>
      <c r="D901" s="218"/>
      <c r="E901" s="221"/>
      <c r="F901" s="218"/>
    </row>
    <row r="902" spans="1:6" x14ac:dyDescent="0.2">
      <c r="A902" s="218"/>
      <c r="B902" s="218" t="s">
        <v>302</v>
      </c>
      <c r="C902" s="817"/>
      <c r="D902" s="818"/>
      <c r="E902" s="818"/>
      <c r="F902" s="819"/>
    </row>
    <row r="903" spans="1:6" x14ac:dyDescent="0.2">
      <c r="A903" s="218"/>
      <c r="B903" s="218" t="s">
        <v>303</v>
      </c>
      <c r="C903" s="817"/>
      <c r="D903" s="818"/>
      <c r="E903" s="818"/>
      <c r="F903" s="819"/>
    </row>
    <row r="904" spans="1:6" ht="70.5" customHeight="1" x14ac:dyDescent="0.2">
      <c r="A904" s="813" t="s">
        <v>662</v>
      </c>
      <c r="B904" s="814"/>
      <c r="C904" s="814"/>
      <c r="D904" s="814"/>
      <c r="E904" s="815"/>
      <c r="F904" s="816"/>
    </row>
    <row r="905" spans="1:6" ht="18.75" x14ac:dyDescent="0.2">
      <c r="A905" s="198">
        <v>1</v>
      </c>
      <c r="B905" s="1015" t="s">
        <v>352</v>
      </c>
      <c r="C905" s="1016"/>
      <c r="D905" s="803">
        <v>72000000</v>
      </c>
      <c r="E905" s="803"/>
      <c r="F905" s="803"/>
    </row>
    <row r="906" spans="1:6" ht="18.75" x14ac:dyDescent="0.2">
      <c r="A906" s="198"/>
      <c r="B906" s="201"/>
      <c r="C906" s="200"/>
      <c r="D906" s="202"/>
      <c r="E906" s="202"/>
      <c r="F906" s="203"/>
    </row>
    <row r="907" spans="1:6" ht="37.5" x14ac:dyDescent="0.2">
      <c r="A907" s="464">
        <v>2</v>
      </c>
      <c r="B907" s="465" t="s">
        <v>663</v>
      </c>
      <c r="C907" s="466"/>
      <c r="D907" s="467">
        <f>SUM(D908:D912)</f>
        <v>4300000</v>
      </c>
      <c r="E907" s="467"/>
      <c r="F907" s="468"/>
    </row>
    <row r="908" spans="1:6" ht="37.5" x14ac:dyDescent="0.2">
      <c r="A908" s="469" t="s">
        <v>613</v>
      </c>
      <c r="B908" s="339" t="s">
        <v>614</v>
      </c>
      <c r="C908" s="340"/>
      <c r="D908" s="341">
        <v>700000</v>
      </c>
      <c r="E908" s="341"/>
      <c r="F908" s="470"/>
    </row>
    <row r="909" spans="1:6" ht="37.5" x14ac:dyDescent="0.2">
      <c r="A909" s="469" t="s">
        <v>615</v>
      </c>
      <c r="B909" s="339" t="s">
        <v>616</v>
      </c>
      <c r="C909" s="340"/>
      <c r="D909" s="341">
        <v>250000</v>
      </c>
      <c r="E909" s="341"/>
      <c r="F909" s="470"/>
    </row>
    <row r="910" spans="1:6" ht="37.5" x14ac:dyDescent="0.2">
      <c r="A910" s="469" t="s">
        <v>617</v>
      </c>
      <c r="B910" s="339" t="s">
        <v>618</v>
      </c>
      <c r="C910" s="340"/>
      <c r="D910" s="341">
        <v>600000</v>
      </c>
      <c r="E910" s="341"/>
      <c r="F910" s="470"/>
    </row>
    <row r="911" spans="1:6" ht="56.25" x14ac:dyDescent="0.2">
      <c r="A911" s="469" t="s">
        <v>619</v>
      </c>
      <c r="B911" s="339" t="s">
        <v>620</v>
      </c>
      <c r="C911" s="340"/>
      <c r="D911" s="341">
        <v>250000</v>
      </c>
      <c r="E911" s="341"/>
      <c r="F911" s="470"/>
    </row>
    <row r="912" spans="1:6" ht="37.5" x14ac:dyDescent="0.2">
      <c r="A912" s="469" t="s">
        <v>621</v>
      </c>
      <c r="B912" s="339" t="s">
        <v>664</v>
      </c>
      <c r="C912" s="340"/>
      <c r="D912" s="341">
        <v>2500000</v>
      </c>
      <c r="E912" s="341"/>
      <c r="F912" s="470"/>
    </row>
    <row r="913" spans="1:6" ht="18.75" x14ac:dyDescent="0.2">
      <c r="A913" s="471" t="s">
        <v>623</v>
      </c>
      <c r="B913" s="199" t="s">
        <v>665</v>
      </c>
      <c r="C913" s="200"/>
      <c r="D913" s="202">
        <v>3000000</v>
      </c>
      <c r="E913" s="202"/>
      <c r="F913" s="203"/>
    </row>
    <row r="914" spans="1:6" ht="75" x14ac:dyDescent="0.2">
      <c r="A914" s="471" t="s">
        <v>625</v>
      </c>
      <c r="B914" s="199" t="s">
        <v>666</v>
      </c>
      <c r="C914" s="200"/>
      <c r="D914" s="202">
        <v>4000000</v>
      </c>
      <c r="E914" s="202"/>
      <c r="F914" s="203"/>
    </row>
    <row r="915" spans="1:6" ht="18.75" x14ac:dyDescent="0.2">
      <c r="A915" s="472" t="s">
        <v>627</v>
      </c>
      <c r="B915" s="473" t="s">
        <v>289</v>
      </c>
      <c r="C915" s="474">
        <v>0.6</v>
      </c>
      <c r="D915" s="475">
        <f>D905*C915</f>
        <v>43200000</v>
      </c>
      <c r="E915" s="476"/>
      <c r="F915" s="477"/>
    </row>
    <row r="916" spans="1:6" ht="18.75" x14ac:dyDescent="0.2">
      <c r="A916" s="478" t="s">
        <v>628</v>
      </c>
      <c r="B916" s="479" t="s">
        <v>336</v>
      </c>
      <c r="C916" s="480">
        <v>2.5000000000000001E-2</v>
      </c>
      <c r="D916" s="481">
        <f>C916*D915</f>
        <v>1080000</v>
      </c>
      <c r="E916" s="482"/>
      <c r="F916" s="483"/>
    </row>
    <row r="917" spans="1:6" ht="18.75" x14ac:dyDescent="0.2">
      <c r="A917" s="484" t="s">
        <v>629</v>
      </c>
      <c r="B917" s="479" t="s">
        <v>357</v>
      </c>
      <c r="C917" s="480">
        <v>0.04</v>
      </c>
      <c r="D917" s="485">
        <f>D915*C917</f>
        <v>1728000</v>
      </c>
      <c r="E917" s="486"/>
      <c r="F917" s="363"/>
    </row>
    <row r="918" spans="1:6" ht="18.75" x14ac:dyDescent="0.2">
      <c r="A918" s="478" t="s">
        <v>630</v>
      </c>
      <c r="B918" s="479" t="s">
        <v>631</v>
      </c>
      <c r="C918" s="480">
        <v>0.04</v>
      </c>
      <c r="D918" s="485">
        <f>C918*D915</f>
        <v>1728000</v>
      </c>
      <c r="E918" s="487"/>
      <c r="F918" s="488"/>
    </row>
    <row r="919" spans="1:6" ht="37.5" x14ac:dyDescent="0.2">
      <c r="A919" s="478" t="s">
        <v>632</v>
      </c>
      <c r="B919" s="479" t="s">
        <v>633</v>
      </c>
      <c r="C919" s="489">
        <v>0.04</v>
      </c>
      <c r="D919" s="318">
        <f>D915*C919</f>
        <v>1728000</v>
      </c>
      <c r="E919" s="490"/>
      <c r="F919" s="319"/>
    </row>
    <row r="920" spans="1:6" ht="18.75" x14ac:dyDescent="0.2">
      <c r="A920" s="484" t="s">
        <v>634</v>
      </c>
      <c r="B920" s="479" t="s">
        <v>20</v>
      </c>
      <c r="C920" s="489">
        <v>1.4999999999999999E-2</v>
      </c>
      <c r="D920" s="318">
        <f>D915*C920</f>
        <v>648000</v>
      </c>
      <c r="E920" s="490"/>
      <c r="F920" s="319"/>
    </row>
    <row r="921" spans="1:6" ht="18.75" x14ac:dyDescent="0.2">
      <c r="A921" s="478" t="s">
        <v>635</v>
      </c>
      <c r="B921" s="479" t="s">
        <v>267</v>
      </c>
      <c r="C921" s="489">
        <v>0.1</v>
      </c>
      <c r="D921" s="318">
        <f>D915*C921</f>
        <v>4320000</v>
      </c>
      <c r="E921" s="490"/>
      <c r="F921" s="319"/>
    </row>
    <row r="922" spans="1:6" ht="18.75" x14ac:dyDescent="0.2">
      <c r="A922" s="478" t="s">
        <v>636</v>
      </c>
      <c r="B922" s="479" t="s">
        <v>256</v>
      </c>
      <c r="C922" s="489">
        <v>0.08</v>
      </c>
      <c r="D922" s="318">
        <f>D915*C922</f>
        <v>3456000</v>
      </c>
      <c r="E922" s="490"/>
      <c r="F922" s="319"/>
    </row>
    <row r="923" spans="1:6" ht="36" x14ac:dyDescent="0.2">
      <c r="A923" s="484" t="s">
        <v>637</v>
      </c>
      <c r="B923" s="479" t="s">
        <v>319</v>
      </c>
      <c r="C923" s="489">
        <v>3.5000000000000003E-2</v>
      </c>
      <c r="D923" s="318">
        <f>D915*C923</f>
        <v>1512000.0000000002</v>
      </c>
      <c r="E923" s="490"/>
      <c r="F923" s="319" t="s">
        <v>667</v>
      </c>
    </row>
    <row r="924" spans="1:6" ht="18.75" x14ac:dyDescent="0.2">
      <c r="A924" s="478" t="s">
        <v>638</v>
      </c>
      <c r="B924" s="479" t="s">
        <v>294</v>
      </c>
      <c r="C924" s="489">
        <v>2.5000000000000001E-2</v>
      </c>
      <c r="D924" s="318">
        <f>D915*C924</f>
        <v>1080000</v>
      </c>
      <c r="E924" s="490"/>
      <c r="F924" s="319" t="s">
        <v>668</v>
      </c>
    </row>
    <row r="925" spans="1:6" ht="18.75" x14ac:dyDescent="0.2">
      <c r="A925" s="478" t="s">
        <v>639</v>
      </c>
      <c r="B925" s="479" t="s">
        <v>322</v>
      </c>
      <c r="C925" s="489">
        <v>2.5000000000000001E-2</v>
      </c>
      <c r="D925" s="318">
        <f>D915*C925</f>
        <v>1080000</v>
      </c>
      <c r="E925" s="490"/>
      <c r="F925" s="319"/>
    </row>
    <row r="926" spans="1:6" ht="18.75" x14ac:dyDescent="0.2">
      <c r="A926" s="484" t="s">
        <v>640</v>
      </c>
      <c r="B926" s="479" t="s">
        <v>323</v>
      </c>
      <c r="C926" s="489">
        <v>3.5000000000000003E-2</v>
      </c>
      <c r="D926" s="318">
        <f>D915*C926</f>
        <v>1512000.0000000002</v>
      </c>
      <c r="E926" s="490"/>
      <c r="F926" s="319" t="s">
        <v>669</v>
      </c>
    </row>
    <row r="927" spans="1:6" ht="18.75" x14ac:dyDescent="0.2">
      <c r="A927" s="478" t="s">
        <v>641</v>
      </c>
      <c r="B927" s="479" t="s">
        <v>642</v>
      </c>
      <c r="C927" s="489">
        <v>2.5000000000000001E-2</v>
      </c>
      <c r="D927" s="318">
        <f>D915*C927</f>
        <v>1080000</v>
      </c>
      <c r="E927" s="490"/>
      <c r="F927" s="319"/>
    </row>
    <row r="928" spans="1:6" ht="18.75" x14ac:dyDescent="0.2">
      <c r="A928" s="478" t="s">
        <v>643</v>
      </c>
      <c r="B928" s="479" t="s">
        <v>259</v>
      </c>
      <c r="C928" s="489">
        <v>3.5000000000000003E-2</v>
      </c>
      <c r="D928" s="318">
        <f>D915*C928</f>
        <v>1512000.0000000002</v>
      </c>
      <c r="E928" s="490"/>
      <c r="F928" s="319"/>
    </row>
    <row r="929" spans="1:6" ht="18.75" x14ac:dyDescent="0.2">
      <c r="A929" s="484" t="s">
        <v>644</v>
      </c>
      <c r="B929" s="479" t="s">
        <v>260</v>
      </c>
      <c r="C929" s="489">
        <v>1.4999999999999999E-2</v>
      </c>
      <c r="D929" s="318">
        <f>D915*C929</f>
        <v>648000</v>
      </c>
      <c r="E929" s="490"/>
      <c r="F929" s="319"/>
    </row>
    <row r="930" spans="1:6" ht="18.75" x14ac:dyDescent="0.2">
      <c r="A930" s="478" t="s">
        <v>645</v>
      </c>
      <c r="B930" s="479" t="s">
        <v>272</v>
      </c>
      <c r="C930" s="489">
        <v>1.4999999999999999E-2</v>
      </c>
      <c r="D930" s="318">
        <f>D915*C930</f>
        <v>648000</v>
      </c>
      <c r="E930" s="490"/>
      <c r="F930" s="319"/>
    </row>
    <row r="931" spans="1:6" ht="18.75" x14ac:dyDescent="0.2">
      <c r="A931" s="478" t="s">
        <v>646</v>
      </c>
      <c r="B931" s="479" t="s">
        <v>670</v>
      </c>
      <c r="C931" s="489">
        <v>0.04</v>
      </c>
      <c r="D931" s="318">
        <f>D915*C931</f>
        <v>1728000</v>
      </c>
      <c r="E931" s="490"/>
      <c r="F931" s="319" t="s">
        <v>671</v>
      </c>
    </row>
    <row r="932" spans="1:6" ht="18.75" x14ac:dyDescent="0.2">
      <c r="A932" s="484" t="s">
        <v>647</v>
      </c>
      <c r="B932" s="479" t="s">
        <v>273</v>
      </c>
      <c r="C932" s="489">
        <v>7.4999999999999997E-3</v>
      </c>
      <c r="D932" s="318">
        <f>D915*C932</f>
        <v>324000</v>
      </c>
      <c r="E932" s="490"/>
      <c r="F932" s="319"/>
    </row>
    <row r="933" spans="1:6" ht="18.75" x14ac:dyDescent="0.2">
      <c r="A933" s="478" t="s">
        <v>648</v>
      </c>
      <c r="B933" s="479" t="s">
        <v>262</v>
      </c>
      <c r="C933" s="489">
        <v>7.4999999999999997E-3</v>
      </c>
      <c r="D933" s="318">
        <f>D915*C933</f>
        <v>324000</v>
      </c>
      <c r="E933" s="490"/>
      <c r="F933" s="319"/>
    </row>
    <row r="934" spans="1:6" ht="18.75" x14ac:dyDescent="0.2">
      <c r="A934" s="478" t="s">
        <v>649</v>
      </c>
      <c r="B934" s="479" t="s">
        <v>341</v>
      </c>
      <c r="C934" s="489">
        <v>0.05</v>
      </c>
      <c r="D934" s="318">
        <f>D915*C934</f>
        <v>2160000</v>
      </c>
      <c r="E934" s="490"/>
      <c r="F934" s="319"/>
    </row>
    <row r="935" spans="1:6" ht="18.75" x14ac:dyDescent="0.2">
      <c r="A935" s="484" t="s">
        <v>650</v>
      </c>
      <c r="B935" s="479" t="s">
        <v>651</v>
      </c>
      <c r="C935" s="489">
        <v>2.5000000000000001E-3</v>
      </c>
      <c r="D935" s="318">
        <f>C935*D905</f>
        <v>180000</v>
      </c>
      <c r="E935" s="490"/>
      <c r="F935" s="319"/>
    </row>
    <row r="936" spans="1:6" ht="18.75" x14ac:dyDescent="0.2">
      <c r="A936" s="478" t="s">
        <v>652</v>
      </c>
      <c r="B936" s="479" t="s">
        <v>653</v>
      </c>
      <c r="C936" s="489">
        <v>4.4999999999999998E-2</v>
      </c>
      <c r="D936" s="318">
        <f>C936*D915</f>
        <v>1944000</v>
      </c>
      <c r="E936" s="490"/>
      <c r="F936" s="319"/>
    </row>
    <row r="937" spans="1:6" ht="18.75" x14ac:dyDescent="0.2">
      <c r="A937" s="491"/>
      <c r="B937" s="473" t="s">
        <v>654</v>
      </c>
      <c r="C937" s="474">
        <f>SUM(C916:C934)</f>
        <v>0.65500000000000014</v>
      </c>
      <c r="D937" s="476">
        <f>SUM(D916:D936)</f>
        <v>30420000</v>
      </c>
      <c r="E937" s="492"/>
      <c r="F937" s="477"/>
    </row>
    <row r="938" spans="1:6" ht="18.75" x14ac:dyDescent="0.2">
      <c r="A938" s="471" t="s">
        <v>655</v>
      </c>
      <c r="B938" s="201" t="s">
        <v>656</v>
      </c>
      <c r="C938" s="206"/>
      <c r="D938" s="202"/>
      <c r="E938" s="207"/>
      <c r="F938" s="203"/>
    </row>
    <row r="939" spans="1:6" ht="18.75" x14ac:dyDescent="0.2">
      <c r="A939" s="471" t="s">
        <v>657</v>
      </c>
      <c r="B939" s="201" t="s">
        <v>343</v>
      </c>
      <c r="C939" s="206">
        <v>2.5000000000000001E-2</v>
      </c>
      <c r="D939" s="202">
        <f>C939*D915</f>
        <v>1080000</v>
      </c>
      <c r="E939" s="207"/>
      <c r="F939" s="203"/>
    </row>
    <row r="940" spans="1:6" ht="18.75" x14ac:dyDescent="0.2">
      <c r="A940" s="471" t="s">
        <v>658</v>
      </c>
      <c r="B940" s="201" t="s">
        <v>659</v>
      </c>
      <c r="C940" s="206">
        <v>0.08</v>
      </c>
      <c r="D940" s="202">
        <f>C940*D915</f>
        <v>3456000</v>
      </c>
      <c r="E940" s="207"/>
      <c r="F940" s="203"/>
    </row>
    <row r="941" spans="1:6" ht="18.75" x14ac:dyDescent="0.2">
      <c r="A941" s="471" t="s">
        <v>660</v>
      </c>
      <c r="B941" s="201" t="s">
        <v>132</v>
      </c>
      <c r="C941" s="206">
        <v>0.12</v>
      </c>
      <c r="D941" s="202">
        <f>D905*C941</f>
        <v>8640000</v>
      </c>
      <c r="E941" s="211"/>
      <c r="F941" s="212"/>
    </row>
    <row r="942" spans="1:6" ht="31.5" x14ac:dyDescent="0.2">
      <c r="A942" s="471"/>
      <c r="B942" s="185" t="s">
        <v>284</v>
      </c>
      <c r="C942" s="195">
        <f>D942/D905</f>
        <v>0.23755555555555555</v>
      </c>
      <c r="D942" s="213">
        <f>D905-D907-D913-D914-D937-D939-D940-D941</f>
        <v>17104000</v>
      </c>
      <c r="E942" s="214"/>
      <c r="F942" s="203"/>
    </row>
    <row r="943" spans="1:6" ht="19.5" x14ac:dyDescent="0.2">
      <c r="A943" s="471"/>
      <c r="B943" s="215" t="s">
        <v>661</v>
      </c>
      <c r="C943" s="195">
        <f>D942/D905</f>
        <v>0.23755555555555555</v>
      </c>
      <c r="D943" s="202">
        <f>D941+D942</f>
        <v>25744000</v>
      </c>
      <c r="E943" s="214"/>
      <c r="F943" s="203"/>
    </row>
    <row r="944" spans="1:6" x14ac:dyDescent="0.2">
      <c r="A944" s="218"/>
      <c r="B944" s="219" t="s">
        <v>301</v>
      </c>
      <c r="C944" s="220"/>
      <c r="D944" s="218"/>
      <c r="E944" s="221"/>
      <c r="F944" s="218"/>
    </row>
    <row r="945" spans="1:10" ht="50.25" customHeight="1" x14ac:dyDescent="0.2">
      <c r="A945" s="218"/>
      <c r="B945" s="218" t="s">
        <v>302</v>
      </c>
      <c r="C945" s="817" t="s">
        <v>672</v>
      </c>
      <c r="D945" s="818"/>
      <c r="E945" s="818"/>
      <c r="F945" s="819"/>
    </row>
    <row r="946" spans="1:10" x14ac:dyDescent="0.2">
      <c r="A946" s="218"/>
      <c r="B946" s="218" t="s">
        <v>303</v>
      </c>
      <c r="C946" s="817"/>
      <c r="D946" s="818"/>
      <c r="E946" s="818"/>
      <c r="F946" s="819"/>
    </row>
    <row r="947" spans="1:10" ht="21" customHeight="1" x14ac:dyDescent="0.2">
      <c r="A947" s="1063" t="s">
        <v>673</v>
      </c>
      <c r="B947" s="1064"/>
      <c r="C947" s="1064"/>
      <c r="D947" s="1064"/>
      <c r="E947" s="1064"/>
      <c r="F947" s="1065"/>
      <c r="G947" s="181"/>
      <c r="H947" s="179"/>
      <c r="I947" s="179"/>
      <c r="J947" s="179"/>
    </row>
    <row r="948" spans="1:10" ht="69.75" customHeight="1" x14ac:dyDescent="0.2">
      <c r="A948" s="804" t="s">
        <v>674</v>
      </c>
      <c r="B948" s="805"/>
      <c r="C948" s="805"/>
      <c r="D948" s="805"/>
      <c r="E948" s="805"/>
      <c r="F948" s="806"/>
      <c r="G948" s="181"/>
      <c r="H948" s="179"/>
      <c r="I948" s="179"/>
      <c r="J948" s="179"/>
    </row>
    <row r="949" spans="1:10" ht="18.75" x14ac:dyDescent="0.2">
      <c r="A949" s="173">
        <v>1</v>
      </c>
      <c r="B949" s="254" t="s">
        <v>352</v>
      </c>
      <c r="C949" s="175"/>
      <c r="D949" s="798">
        <v>8426154.7300000004</v>
      </c>
      <c r="E949" s="799"/>
      <c r="F949" s="800"/>
      <c r="G949" s="181"/>
      <c r="H949" s="179"/>
      <c r="I949" s="179"/>
      <c r="J949" s="179"/>
    </row>
    <row r="950" spans="1:10" ht="18.75" x14ac:dyDescent="0.2">
      <c r="A950" s="493">
        <v>2</v>
      </c>
      <c r="B950" s="494" t="s">
        <v>499</v>
      </c>
      <c r="C950" s="495"/>
      <c r="D950" s="496">
        <f>SUM(D951:D952)</f>
        <v>800000</v>
      </c>
      <c r="E950" s="496"/>
      <c r="F950" s="496"/>
      <c r="G950" s="181"/>
      <c r="H950" s="179"/>
      <c r="I950" s="179"/>
      <c r="J950" s="179"/>
    </row>
    <row r="951" spans="1:10" ht="18.75" x14ac:dyDescent="0.2">
      <c r="A951" s="497" t="s">
        <v>613</v>
      </c>
      <c r="B951" s="498" t="s">
        <v>675</v>
      </c>
      <c r="C951" s="499"/>
      <c r="D951" s="500">
        <v>350000</v>
      </c>
      <c r="E951" s="501"/>
      <c r="F951" s="419" t="s">
        <v>676</v>
      </c>
      <c r="G951" s="181"/>
      <c r="H951" s="179"/>
      <c r="I951" s="179"/>
      <c r="J951" s="179"/>
    </row>
    <row r="952" spans="1:10" ht="18.75" x14ac:dyDescent="0.2">
      <c r="A952" s="497" t="s">
        <v>615</v>
      </c>
      <c r="B952" s="498" t="s">
        <v>552</v>
      </c>
      <c r="C952" s="499"/>
      <c r="D952" s="500">
        <v>450000</v>
      </c>
      <c r="E952" s="501"/>
      <c r="F952" s="419"/>
      <c r="G952" s="181"/>
      <c r="H952" s="179"/>
      <c r="I952" s="179"/>
      <c r="J952" s="179"/>
    </row>
    <row r="953" spans="1:10" ht="18.75" x14ac:dyDescent="0.2">
      <c r="A953" s="502" t="s">
        <v>623</v>
      </c>
      <c r="B953" s="503" t="s">
        <v>677</v>
      </c>
      <c r="C953" s="504"/>
      <c r="D953" s="505">
        <f>SUM(D954:D957)</f>
        <v>1306000</v>
      </c>
      <c r="E953" s="506"/>
      <c r="F953" s="507"/>
      <c r="G953" s="181"/>
      <c r="H953" s="179"/>
      <c r="I953" s="179"/>
      <c r="J953" s="179"/>
    </row>
    <row r="954" spans="1:10" ht="31.5" x14ac:dyDescent="0.2">
      <c r="A954" s="508" t="s">
        <v>678</v>
      </c>
      <c r="B954" s="509" t="s">
        <v>353</v>
      </c>
      <c r="C954" s="510"/>
      <c r="D954" s="511">
        <v>500000</v>
      </c>
      <c r="E954" s="512"/>
      <c r="F954" s="513" t="s">
        <v>679</v>
      </c>
      <c r="G954" s="181"/>
      <c r="H954" s="179"/>
      <c r="I954" s="179"/>
      <c r="J954" s="179"/>
    </row>
    <row r="955" spans="1:10" ht="18.75" x14ac:dyDescent="0.2">
      <c r="A955" s="508" t="s">
        <v>680</v>
      </c>
      <c r="B955" s="509" t="s">
        <v>681</v>
      </c>
      <c r="C955" s="510"/>
      <c r="D955" s="511">
        <v>150000</v>
      </c>
      <c r="E955" s="512"/>
      <c r="F955" s="513"/>
      <c r="G955" s="181"/>
      <c r="H955" s="179"/>
      <c r="I955" s="179"/>
      <c r="J955" s="179"/>
    </row>
    <row r="956" spans="1:10" ht="18.75" x14ac:dyDescent="0.2">
      <c r="A956" s="508" t="s">
        <v>682</v>
      </c>
      <c r="B956" s="509" t="s">
        <v>683</v>
      </c>
      <c r="C956" s="510"/>
      <c r="D956" s="511">
        <v>396000</v>
      </c>
      <c r="E956" s="512"/>
      <c r="F956" s="513" t="s">
        <v>113</v>
      </c>
      <c r="G956" s="181"/>
      <c r="H956" s="179"/>
      <c r="I956" s="179"/>
      <c r="J956" s="179"/>
    </row>
    <row r="957" spans="1:10" ht="18.75" x14ac:dyDescent="0.2">
      <c r="A957" s="508" t="s">
        <v>684</v>
      </c>
      <c r="B957" s="509" t="s">
        <v>685</v>
      </c>
      <c r="C957" s="510"/>
      <c r="D957" s="511">
        <v>260000</v>
      </c>
      <c r="E957" s="512"/>
      <c r="F957" s="513" t="s">
        <v>113</v>
      </c>
      <c r="G957" s="181"/>
      <c r="H957" s="179"/>
      <c r="I957" s="179"/>
      <c r="J957" s="179"/>
    </row>
    <row r="958" spans="1:10" ht="18.75" x14ac:dyDescent="0.2">
      <c r="A958" s="514" t="s">
        <v>625</v>
      </c>
      <c r="B958" s="515" t="s">
        <v>686</v>
      </c>
      <c r="C958" s="516"/>
      <c r="D958" s="517">
        <f>SUM(D959:D961)</f>
        <v>150000</v>
      </c>
      <c r="E958" s="518"/>
      <c r="F958" s="519"/>
      <c r="G958" s="181"/>
      <c r="H958" s="179"/>
      <c r="I958" s="179"/>
      <c r="J958" s="179"/>
    </row>
    <row r="959" spans="1:10" ht="18.75" x14ac:dyDescent="0.2">
      <c r="A959" s="520" t="s">
        <v>687</v>
      </c>
      <c r="B959" s="521" t="s">
        <v>688</v>
      </c>
      <c r="C959" s="522"/>
      <c r="D959" s="523">
        <v>50000</v>
      </c>
      <c r="E959" s="524"/>
      <c r="F959" s="1057" t="s">
        <v>113</v>
      </c>
      <c r="G959" s="181"/>
      <c r="H959" s="179"/>
      <c r="I959" s="179"/>
      <c r="J959" s="179"/>
    </row>
    <row r="960" spans="1:10" ht="18.75" x14ac:dyDescent="0.2">
      <c r="A960" s="520" t="s">
        <v>689</v>
      </c>
      <c r="B960" s="521" t="s">
        <v>690</v>
      </c>
      <c r="C960" s="522"/>
      <c r="D960" s="523">
        <v>50000</v>
      </c>
      <c r="E960" s="524"/>
      <c r="F960" s="1058"/>
      <c r="G960" s="181"/>
      <c r="H960" s="179"/>
      <c r="I960" s="179"/>
      <c r="J960" s="179"/>
    </row>
    <row r="961" spans="1:10" ht="18.75" x14ac:dyDescent="0.2">
      <c r="A961" s="520" t="s">
        <v>691</v>
      </c>
      <c r="B961" s="521" t="s">
        <v>692</v>
      </c>
      <c r="C961" s="522"/>
      <c r="D961" s="523">
        <v>50000</v>
      </c>
      <c r="E961" s="524"/>
      <c r="F961" s="1059"/>
      <c r="G961" s="181"/>
      <c r="H961" s="179"/>
      <c r="I961" s="179"/>
      <c r="J961" s="179"/>
    </row>
    <row r="962" spans="1:10" x14ac:dyDescent="0.2">
      <c r="A962" s="525">
        <v>4</v>
      </c>
      <c r="B962" s="526" t="s">
        <v>693</v>
      </c>
      <c r="C962" s="527"/>
      <c r="D962" s="528">
        <f>SUM(D963:D970)</f>
        <v>753000</v>
      </c>
      <c r="E962" s="529"/>
      <c r="F962" s="530"/>
    </row>
    <row r="963" spans="1:10" x14ac:dyDescent="0.2">
      <c r="A963" s="1055" t="s">
        <v>687</v>
      </c>
      <c r="B963" s="532" t="s">
        <v>694</v>
      </c>
      <c r="C963" s="533"/>
      <c r="D963" s="534">
        <v>150000</v>
      </c>
      <c r="E963" s="535"/>
      <c r="F963" s="536" t="s">
        <v>695</v>
      </c>
    </row>
    <row r="964" spans="1:10" x14ac:dyDescent="0.2">
      <c r="A964" s="1056"/>
      <c r="B964" s="532" t="s">
        <v>696</v>
      </c>
      <c r="C964" s="533"/>
      <c r="D964" s="534">
        <v>3000</v>
      </c>
      <c r="E964" s="535"/>
      <c r="F964" s="536"/>
    </row>
    <row r="965" spans="1:10" x14ac:dyDescent="0.2">
      <c r="A965" s="1055" t="s">
        <v>689</v>
      </c>
      <c r="B965" s="532" t="s">
        <v>561</v>
      </c>
      <c r="C965" s="533"/>
      <c r="D965" s="534">
        <v>100000</v>
      </c>
      <c r="E965" s="535"/>
      <c r="F965" s="536" t="s">
        <v>123</v>
      </c>
    </row>
    <row r="966" spans="1:10" x14ac:dyDescent="0.2">
      <c r="A966" s="1056"/>
      <c r="B966" s="532" t="s">
        <v>697</v>
      </c>
      <c r="C966" s="533"/>
      <c r="D966" s="534">
        <v>120000</v>
      </c>
      <c r="E966" s="535"/>
      <c r="F966" s="536" t="s">
        <v>698</v>
      </c>
    </row>
    <row r="967" spans="1:10" x14ac:dyDescent="0.2">
      <c r="A967" s="1055" t="s">
        <v>691</v>
      </c>
      <c r="B967" s="532" t="s">
        <v>699</v>
      </c>
      <c r="C967" s="533"/>
      <c r="D967" s="534">
        <v>50000</v>
      </c>
      <c r="E967" s="535"/>
      <c r="F967" s="536" t="s">
        <v>113</v>
      </c>
    </row>
    <row r="968" spans="1:10" x14ac:dyDescent="0.2">
      <c r="A968" s="1056"/>
      <c r="B968" s="532" t="s">
        <v>700</v>
      </c>
      <c r="C968" s="533"/>
      <c r="D968" s="534">
        <v>60000</v>
      </c>
      <c r="E968" s="535"/>
      <c r="F968" s="536" t="s">
        <v>701</v>
      </c>
    </row>
    <row r="969" spans="1:10" x14ac:dyDescent="0.2">
      <c r="A969" s="531" t="s">
        <v>702</v>
      </c>
      <c r="B969" s="532" t="s">
        <v>703</v>
      </c>
      <c r="C969" s="533"/>
      <c r="D969" s="534">
        <v>50000</v>
      </c>
      <c r="E969" s="535"/>
      <c r="F969" s="536" t="s">
        <v>10</v>
      </c>
    </row>
    <row r="970" spans="1:10" x14ac:dyDescent="0.2">
      <c r="A970" s="537" t="s">
        <v>704</v>
      </c>
      <c r="B970" s="532" t="s">
        <v>705</v>
      </c>
      <c r="C970" s="533"/>
      <c r="D970" s="534">
        <v>220000</v>
      </c>
      <c r="E970" s="535"/>
      <c r="F970" s="536" t="s">
        <v>113</v>
      </c>
    </row>
    <row r="971" spans="1:10" x14ac:dyDescent="0.2">
      <c r="A971" s="538" t="s">
        <v>627</v>
      </c>
      <c r="B971" s="539" t="s">
        <v>706</v>
      </c>
      <c r="C971" s="540"/>
      <c r="D971" s="541">
        <f>SUM(D972:D974)</f>
        <v>430000</v>
      </c>
      <c r="E971" s="542"/>
      <c r="F971" s="543"/>
    </row>
    <row r="972" spans="1:10" x14ac:dyDescent="0.2">
      <c r="A972" s="544" t="s">
        <v>628</v>
      </c>
      <c r="B972" s="545" t="s">
        <v>707</v>
      </c>
      <c r="C972" s="546"/>
      <c r="D972" s="547">
        <v>230000</v>
      </c>
      <c r="E972" s="548"/>
      <c r="F972" s="549" t="s">
        <v>113</v>
      </c>
    </row>
    <row r="973" spans="1:10" x14ac:dyDescent="0.2">
      <c r="A973" s="544" t="s">
        <v>629</v>
      </c>
      <c r="B973" s="545" t="s">
        <v>563</v>
      </c>
      <c r="C973" s="546"/>
      <c r="D973" s="547">
        <v>100000</v>
      </c>
      <c r="E973" s="548"/>
      <c r="F973" s="549" t="s">
        <v>708</v>
      </c>
    </row>
    <row r="974" spans="1:10" x14ac:dyDescent="0.2">
      <c r="A974" s="544" t="s">
        <v>630</v>
      </c>
      <c r="B974" s="545" t="s">
        <v>564</v>
      </c>
      <c r="C974" s="546"/>
      <c r="D974" s="547">
        <v>100000</v>
      </c>
      <c r="E974" s="548"/>
      <c r="F974" s="549" t="s">
        <v>124</v>
      </c>
    </row>
    <row r="975" spans="1:10" ht="39.75" customHeight="1" x14ac:dyDescent="0.2">
      <c r="A975" s="550" t="s">
        <v>655</v>
      </c>
      <c r="B975" s="551" t="s">
        <v>354</v>
      </c>
      <c r="C975" s="552">
        <v>0.5</v>
      </c>
      <c r="D975" s="553">
        <f>D949*C975</f>
        <v>4213077.3650000002</v>
      </c>
      <c r="E975" s="554"/>
      <c r="F975" s="555"/>
    </row>
    <row r="976" spans="1:10" x14ac:dyDescent="0.2">
      <c r="A976" s="556" t="s">
        <v>709</v>
      </c>
      <c r="B976" s="557" t="s">
        <v>710</v>
      </c>
      <c r="C976" s="558">
        <v>0.08</v>
      </c>
      <c r="D976" s="559">
        <f>C976*D975</f>
        <v>337046.18920000002</v>
      </c>
      <c r="E976" s="560"/>
      <c r="F976" s="561"/>
    </row>
    <row r="977" spans="1:6" ht="30" x14ac:dyDescent="0.2">
      <c r="A977" s="556" t="s">
        <v>711</v>
      </c>
      <c r="B977" s="557" t="s">
        <v>712</v>
      </c>
      <c r="C977" s="558">
        <v>0.06</v>
      </c>
      <c r="D977" s="559">
        <f>D975*C977</f>
        <v>252784.64190000002</v>
      </c>
      <c r="E977" s="561"/>
      <c r="F977" s="561"/>
    </row>
    <row r="978" spans="1:6" x14ac:dyDescent="0.2">
      <c r="A978" s="556" t="s">
        <v>713</v>
      </c>
      <c r="B978" s="557" t="s">
        <v>714</v>
      </c>
      <c r="C978" s="558"/>
      <c r="D978" s="559">
        <v>50000</v>
      </c>
      <c r="E978" s="560"/>
      <c r="F978" s="561" t="s">
        <v>338</v>
      </c>
    </row>
    <row r="979" spans="1:6" x14ac:dyDescent="0.2">
      <c r="A979" s="556" t="s">
        <v>715</v>
      </c>
      <c r="B979" s="557" t="s">
        <v>290</v>
      </c>
      <c r="C979" s="558">
        <v>3.5000000000000003E-2</v>
      </c>
      <c r="D979" s="559">
        <f>C979*D975</f>
        <v>147457.70777500002</v>
      </c>
      <c r="E979" s="560"/>
      <c r="F979" s="561" t="s">
        <v>124</v>
      </c>
    </row>
    <row r="980" spans="1:6" x14ac:dyDescent="0.2">
      <c r="A980" s="556" t="s">
        <v>716</v>
      </c>
      <c r="B980" s="557" t="s">
        <v>360</v>
      </c>
      <c r="C980" s="558">
        <v>5.5E-2</v>
      </c>
      <c r="D980" s="559">
        <f>D975*C980</f>
        <v>231719.25507500002</v>
      </c>
      <c r="E980" s="560"/>
      <c r="F980" s="561" t="s">
        <v>717</v>
      </c>
    </row>
    <row r="981" spans="1:6" x14ac:dyDescent="0.2">
      <c r="A981" s="556" t="s">
        <v>718</v>
      </c>
      <c r="B981" s="557" t="s">
        <v>361</v>
      </c>
      <c r="C981" s="558">
        <v>0.06</v>
      </c>
      <c r="D981" s="559">
        <f>C981*D975</f>
        <v>252784.64190000002</v>
      </c>
      <c r="E981" s="560"/>
      <c r="F981" s="561" t="s">
        <v>124</v>
      </c>
    </row>
    <row r="982" spans="1:6" x14ac:dyDescent="0.2">
      <c r="A982" s="556" t="s">
        <v>719</v>
      </c>
      <c r="B982" s="557" t="s">
        <v>364</v>
      </c>
      <c r="C982" s="558">
        <v>4.4999999999999998E-2</v>
      </c>
      <c r="D982" s="559">
        <f>C982*D975</f>
        <v>189588.48142500001</v>
      </c>
      <c r="E982" s="560"/>
      <c r="F982" s="561"/>
    </row>
    <row r="983" spans="1:6" x14ac:dyDescent="0.2">
      <c r="A983" s="556" t="s">
        <v>720</v>
      </c>
      <c r="B983" s="562" t="s">
        <v>366</v>
      </c>
      <c r="C983" s="563">
        <v>0.06</v>
      </c>
      <c r="D983" s="564">
        <f>D975*C983</f>
        <v>252784.64190000002</v>
      </c>
      <c r="E983" s="565"/>
      <c r="F983" s="561"/>
    </row>
    <row r="984" spans="1:6" x14ac:dyDescent="0.2">
      <c r="A984" s="556" t="s">
        <v>721</v>
      </c>
      <c r="B984" s="562" t="s">
        <v>368</v>
      </c>
      <c r="C984" s="563">
        <v>0.05</v>
      </c>
      <c r="D984" s="564">
        <f>D975*C984</f>
        <v>210653.86825000003</v>
      </c>
      <c r="E984" s="560"/>
      <c r="F984" s="561"/>
    </row>
    <row r="985" spans="1:6" x14ac:dyDescent="0.2">
      <c r="A985" s="556" t="s">
        <v>722</v>
      </c>
      <c r="B985" s="562" t="s">
        <v>723</v>
      </c>
      <c r="C985" s="563">
        <v>0.04</v>
      </c>
      <c r="D985" s="564">
        <f>C985*D975</f>
        <v>168523.09460000001</v>
      </c>
      <c r="E985" s="560"/>
      <c r="F985" s="561" t="s">
        <v>370</v>
      </c>
    </row>
    <row r="986" spans="1:6" x14ac:dyDescent="0.2">
      <c r="A986" s="556" t="s">
        <v>724</v>
      </c>
      <c r="B986" s="562" t="s">
        <v>725</v>
      </c>
      <c r="C986" s="563">
        <v>0.03</v>
      </c>
      <c r="D986" s="564">
        <f>C986*D975</f>
        <v>126392.32095000001</v>
      </c>
      <c r="E986" s="560"/>
      <c r="F986" s="561"/>
    </row>
    <row r="987" spans="1:6" x14ac:dyDescent="0.2">
      <c r="A987" s="556" t="s">
        <v>726</v>
      </c>
      <c r="B987" s="562" t="s">
        <v>299</v>
      </c>
      <c r="C987" s="563">
        <v>0.03</v>
      </c>
      <c r="D987" s="564">
        <f>C987*D975</f>
        <v>126392.32095000001</v>
      </c>
      <c r="E987" s="560"/>
      <c r="F987" s="561" t="s">
        <v>727</v>
      </c>
    </row>
    <row r="988" spans="1:6" x14ac:dyDescent="0.2">
      <c r="A988" s="556" t="s">
        <v>728</v>
      </c>
      <c r="B988" s="562" t="s">
        <v>272</v>
      </c>
      <c r="C988" s="563">
        <v>0.03</v>
      </c>
      <c r="D988" s="564">
        <f>C988*D975</f>
        <v>126392.32095000001</v>
      </c>
      <c r="E988" s="560"/>
      <c r="F988" s="561"/>
    </row>
    <row r="989" spans="1:6" x14ac:dyDescent="0.2">
      <c r="A989" s="556" t="s">
        <v>729</v>
      </c>
      <c r="B989" s="562" t="s">
        <v>273</v>
      </c>
      <c r="C989" s="563">
        <v>1.4999999999999999E-2</v>
      </c>
      <c r="D989" s="564">
        <f>C989*D975</f>
        <v>63196.160475000004</v>
      </c>
      <c r="E989" s="565"/>
      <c r="F989" s="561"/>
    </row>
    <row r="990" spans="1:6" x14ac:dyDescent="0.2">
      <c r="A990" s="556" t="s">
        <v>730</v>
      </c>
      <c r="B990" s="562" t="s">
        <v>261</v>
      </c>
      <c r="C990" s="563">
        <v>0.04</v>
      </c>
      <c r="D990" s="564">
        <f>C990*D975</f>
        <v>168523.09460000001</v>
      </c>
      <c r="E990" s="560"/>
      <c r="F990" s="561" t="s">
        <v>373</v>
      </c>
    </row>
    <row r="991" spans="1:6" x14ac:dyDescent="0.2">
      <c r="A991" s="556" t="s">
        <v>731</v>
      </c>
      <c r="B991" s="562" t="s">
        <v>262</v>
      </c>
      <c r="C991" s="563">
        <v>1.4999999999999999E-2</v>
      </c>
      <c r="D991" s="564">
        <f>C991*D975</f>
        <v>63196.160475000004</v>
      </c>
      <c r="E991" s="560"/>
      <c r="F991" s="561"/>
    </row>
    <row r="992" spans="1:6" x14ac:dyDescent="0.2">
      <c r="A992" s="556" t="s">
        <v>732</v>
      </c>
      <c r="B992" s="562" t="s">
        <v>341</v>
      </c>
      <c r="C992" s="563">
        <v>7.0000000000000007E-2</v>
      </c>
      <c r="D992" s="564">
        <f>C992*D975</f>
        <v>294915.41555000003</v>
      </c>
      <c r="E992" s="565"/>
      <c r="F992" s="561" t="s">
        <v>733</v>
      </c>
    </row>
    <row r="993" spans="1:10" ht="30" x14ac:dyDescent="0.2">
      <c r="A993" s="556" t="s">
        <v>734</v>
      </c>
      <c r="B993" s="562" t="s">
        <v>100</v>
      </c>
      <c r="C993" s="563">
        <v>0.05</v>
      </c>
      <c r="D993" s="564">
        <f>C993*D975</f>
        <v>210653.86825000003</v>
      </c>
      <c r="E993" s="566"/>
      <c r="F993" s="560"/>
    </row>
    <row r="994" spans="1:10" x14ac:dyDescent="0.2">
      <c r="A994" s="550"/>
      <c r="B994" s="567" t="s">
        <v>735</v>
      </c>
      <c r="C994" s="568">
        <f>SUM(C976:C993)</f>
        <v>0.76500000000000012</v>
      </c>
      <c r="D994" s="569">
        <f>SUM(D976:D993)</f>
        <v>3273004.1842249995</v>
      </c>
      <c r="E994" s="570"/>
      <c r="F994" s="554"/>
    </row>
    <row r="995" spans="1:10" x14ac:dyDescent="0.2">
      <c r="A995" s="550"/>
      <c r="B995" s="567" t="s">
        <v>132</v>
      </c>
      <c r="C995" s="568">
        <v>0.05</v>
      </c>
      <c r="D995" s="569">
        <f>C995*D975</f>
        <v>210653.86825000003</v>
      </c>
      <c r="E995" s="570"/>
      <c r="F995" s="554"/>
    </row>
    <row r="996" spans="1:10" ht="28.5" x14ac:dyDescent="0.2">
      <c r="A996" s="550"/>
      <c r="B996" s="567" t="s">
        <v>308</v>
      </c>
      <c r="C996" s="568">
        <f>D996/D949</f>
        <v>0.20343212303852398</v>
      </c>
      <c r="D996" s="569">
        <f>D949-D950-D953-D962-D958-D971-D994</f>
        <v>1714150.5457750009</v>
      </c>
      <c r="E996" s="570"/>
      <c r="F996" s="554"/>
    </row>
    <row r="997" spans="1:10" ht="28.5" x14ac:dyDescent="0.2">
      <c r="A997" s="571"/>
      <c r="B997" s="572" t="s">
        <v>375</v>
      </c>
      <c r="C997" s="573">
        <f>D997/D949</f>
        <v>0.22843212303852398</v>
      </c>
      <c r="D997" s="574">
        <f>D996+D995</f>
        <v>1924804.414025001</v>
      </c>
      <c r="E997" s="575"/>
      <c r="F997" s="575"/>
    </row>
    <row r="998" spans="1:10" ht="21" customHeight="1" x14ac:dyDescent="0.2">
      <c r="A998" s="1063" t="s">
        <v>673</v>
      </c>
      <c r="B998" s="1064"/>
      <c r="C998" s="1064"/>
      <c r="D998" s="1064"/>
      <c r="E998" s="1064"/>
      <c r="F998" s="1065"/>
      <c r="G998" s="181"/>
      <c r="H998" s="179"/>
      <c r="I998" s="179"/>
      <c r="J998" s="179"/>
    </row>
    <row r="999" spans="1:10" ht="73.5" customHeight="1" x14ac:dyDescent="0.2">
      <c r="A999" s="804" t="s">
        <v>736</v>
      </c>
      <c r="B999" s="805"/>
      <c r="C999" s="805"/>
      <c r="D999" s="805"/>
      <c r="E999" s="805"/>
      <c r="F999" s="806"/>
      <c r="G999" s="181"/>
      <c r="H999" s="179"/>
      <c r="I999" s="179"/>
      <c r="J999" s="179"/>
    </row>
    <row r="1000" spans="1:10" ht="18.75" x14ac:dyDescent="0.2">
      <c r="A1000" s="173">
        <v>1</v>
      </c>
      <c r="B1000" s="254" t="s">
        <v>352</v>
      </c>
      <c r="C1000" s="175"/>
      <c r="D1000" s="798">
        <v>7121817.6399999997</v>
      </c>
      <c r="E1000" s="799"/>
      <c r="F1000" s="800"/>
      <c r="G1000" s="181"/>
      <c r="H1000" s="179"/>
      <c r="I1000" s="179"/>
      <c r="J1000" s="179"/>
    </row>
    <row r="1001" spans="1:10" ht="18.75" x14ac:dyDescent="0.2">
      <c r="A1001" s="493">
        <v>2</v>
      </c>
      <c r="B1001" s="494" t="s">
        <v>499</v>
      </c>
      <c r="C1001" s="495"/>
      <c r="D1001" s="496">
        <f>SUM(D1002:D1003)</f>
        <v>800000</v>
      </c>
      <c r="E1001" s="496"/>
      <c r="F1001" s="496"/>
      <c r="G1001" s="181"/>
      <c r="H1001" s="179"/>
      <c r="I1001" s="179"/>
      <c r="J1001" s="179"/>
    </row>
    <row r="1002" spans="1:10" ht="18.75" x14ac:dyDescent="0.2">
      <c r="A1002" s="497" t="s">
        <v>613</v>
      </c>
      <c r="B1002" s="498" t="s">
        <v>675</v>
      </c>
      <c r="C1002" s="499"/>
      <c r="D1002" s="500">
        <v>350000</v>
      </c>
      <c r="E1002" s="501"/>
      <c r="F1002" s="419" t="s">
        <v>676</v>
      </c>
      <c r="G1002" s="181"/>
      <c r="H1002" s="179"/>
      <c r="I1002" s="179"/>
      <c r="J1002" s="179"/>
    </row>
    <row r="1003" spans="1:10" ht="18.75" x14ac:dyDescent="0.2">
      <c r="A1003" s="497" t="s">
        <v>615</v>
      </c>
      <c r="B1003" s="498" t="s">
        <v>552</v>
      </c>
      <c r="C1003" s="499"/>
      <c r="D1003" s="500">
        <v>450000</v>
      </c>
      <c r="E1003" s="501"/>
      <c r="F1003" s="419"/>
      <c r="G1003" s="181"/>
      <c r="H1003" s="179"/>
      <c r="I1003" s="179"/>
      <c r="J1003" s="179"/>
    </row>
    <row r="1004" spans="1:10" ht="18.75" x14ac:dyDescent="0.2">
      <c r="A1004" s="502" t="s">
        <v>623</v>
      </c>
      <c r="B1004" s="503" t="s">
        <v>677</v>
      </c>
      <c r="C1004" s="504"/>
      <c r="D1004" s="505">
        <f>SUM(D1005:D1008)</f>
        <v>1155000</v>
      </c>
      <c r="E1004" s="506"/>
      <c r="F1004" s="507"/>
      <c r="G1004" s="181"/>
      <c r="H1004" s="179"/>
      <c r="I1004" s="179"/>
      <c r="J1004" s="179"/>
    </row>
    <row r="1005" spans="1:10" ht="31.5" x14ac:dyDescent="0.2">
      <c r="A1005" s="508" t="s">
        <v>678</v>
      </c>
      <c r="B1005" s="509" t="s">
        <v>353</v>
      </c>
      <c r="C1005" s="510"/>
      <c r="D1005" s="511">
        <v>350000</v>
      </c>
      <c r="E1005" s="512"/>
      <c r="F1005" s="513" t="s">
        <v>737</v>
      </c>
      <c r="G1005" s="181"/>
      <c r="H1005" s="179"/>
      <c r="I1005" s="179"/>
      <c r="J1005" s="179"/>
    </row>
    <row r="1006" spans="1:10" ht="18.75" x14ac:dyDescent="0.2">
      <c r="A1006" s="508" t="s">
        <v>680</v>
      </c>
      <c r="B1006" s="509" t="s">
        <v>681</v>
      </c>
      <c r="C1006" s="510"/>
      <c r="D1006" s="511">
        <v>150000</v>
      </c>
      <c r="E1006" s="512"/>
      <c r="F1006" s="513"/>
      <c r="G1006" s="181"/>
      <c r="H1006" s="179"/>
      <c r="I1006" s="179"/>
      <c r="J1006" s="179"/>
    </row>
    <row r="1007" spans="1:10" ht="18.75" x14ac:dyDescent="0.2">
      <c r="A1007" s="508" t="s">
        <v>738</v>
      </c>
      <c r="B1007" s="509" t="s">
        <v>683</v>
      </c>
      <c r="C1007" s="510"/>
      <c r="D1007" s="511">
        <v>395000</v>
      </c>
      <c r="E1007" s="512"/>
      <c r="F1007" s="513" t="s">
        <v>113</v>
      </c>
      <c r="G1007" s="181"/>
      <c r="H1007" s="179"/>
      <c r="I1007" s="179"/>
      <c r="J1007" s="179"/>
    </row>
    <row r="1008" spans="1:10" ht="18.75" x14ac:dyDescent="0.2">
      <c r="A1008" s="508" t="s">
        <v>684</v>
      </c>
      <c r="B1008" s="509" t="s">
        <v>685</v>
      </c>
      <c r="C1008" s="510"/>
      <c r="D1008" s="511">
        <v>260000</v>
      </c>
      <c r="E1008" s="512"/>
      <c r="F1008" s="513" t="s">
        <v>113</v>
      </c>
      <c r="G1008" s="181"/>
      <c r="H1008" s="179"/>
      <c r="I1008" s="179"/>
      <c r="J1008" s="179"/>
    </row>
    <row r="1009" spans="1:10" ht="18.75" x14ac:dyDescent="0.2">
      <c r="A1009" s="514" t="s">
        <v>625</v>
      </c>
      <c r="B1009" s="515" t="s">
        <v>686</v>
      </c>
      <c r="C1009" s="516"/>
      <c r="D1009" s="517">
        <f>SUM(D1010:D1012)</f>
        <v>120000</v>
      </c>
      <c r="E1009" s="518"/>
      <c r="F1009" s="519"/>
      <c r="G1009" s="181"/>
      <c r="H1009" s="179"/>
      <c r="I1009" s="179"/>
      <c r="J1009" s="179"/>
    </row>
    <row r="1010" spans="1:10" ht="18.75" x14ac:dyDescent="0.2">
      <c r="A1010" s="520" t="s">
        <v>687</v>
      </c>
      <c r="B1010" s="521" t="s">
        <v>688</v>
      </c>
      <c r="C1010" s="522"/>
      <c r="D1010" s="523">
        <v>40000</v>
      </c>
      <c r="E1010" s="524"/>
      <c r="F1010" s="1057" t="s">
        <v>113</v>
      </c>
      <c r="G1010" s="181"/>
      <c r="H1010" s="179"/>
      <c r="I1010" s="179"/>
      <c r="J1010" s="179"/>
    </row>
    <row r="1011" spans="1:10" ht="18.75" x14ac:dyDescent="0.2">
      <c r="A1011" s="520" t="s">
        <v>689</v>
      </c>
      <c r="B1011" s="521" t="s">
        <v>690</v>
      </c>
      <c r="C1011" s="522"/>
      <c r="D1011" s="523">
        <v>40000</v>
      </c>
      <c r="E1011" s="524"/>
      <c r="F1011" s="1058"/>
      <c r="G1011" s="181"/>
      <c r="H1011" s="179"/>
      <c r="I1011" s="179"/>
      <c r="J1011" s="179"/>
    </row>
    <row r="1012" spans="1:10" ht="18.75" x14ac:dyDescent="0.2">
      <c r="A1012" s="520" t="s">
        <v>691</v>
      </c>
      <c r="B1012" s="521" t="s">
        <v>692</v>
      </c>
      <c r="C1012" s="522"/>
      <c r="D1012" s="523">
        <v>40000</v>
      </c>
      <c r="E1012" s="524"/>
      <c r="F1012" s="1059"/>
      <c r="G1012" s="181"/>
      <c r="H1012" s="179"/>
      <c r="I1012" s="179"/>
      <c r="J1012" s="179"/>
    </row>
    <row r="1013" spans="1:10" x14ac:dyDescent="0.2">
      <c r="A1013" s="525">
        <v>4</v>
      </c>
      <c r="B1013" s="526" t="s">
        <v>693</v>
      </c>
      <c r="C1013" s="527"/>
      <c r="D1013" s="528">
        <f>SUM(D1014:D1021)</f>
        <v>723000</v>
      </c>
      <c r="E1013" s="529"/>
      <c r="F1013" s="530"/>
    </row>
    <row r="1014" spans="1:10" x14ac:dyDescent="0.2">
      <c r="A1014" s="1055" t="s">
        <v>687</v>
      </c>
      <c r="B1014" s="532" t="s">
        <v>694</v>
      </c>
      <c r="C1014" s="533"/>
      <c r="D1014" s="534">
        <v>150000</v>
      </c>
      <c r="E1014" s="535"/>
      <c r="F1014" s="536" t="s">
        <v>695</v>
      </c>
    </row>
    <row r="1015" spans="1:10" x14ac:dyDescent="0.2">
      <c r="A1015" s="1056"/>
      <c r="B1015" s="532" t="s">
        <v>696</v>
      </c>
      <c r="C1015" s="533"/>
      <c r="D1015" s="534">
        <v>3000</v>
      </c>
      <c r="E1015" s="535"/>
      <c r="F1015" s="536"/>
    </row>
    <row r="1016" spans="1:10" x14ac:dyDescent="0.2">
      <c r="A1016" s="1055" t="s">
        <v>689</v>
      </c>
      <c r="B1016" s="532" t="s">
        <v>561</v>
      </c>
      <c r="C1016" s="533"/>
      <c r="D1016" s="534">
        <v>100000</v>
      </c>
      <c r="E1016" s="535"/>
      <c r="F1016" s="536" t="s">
        <v>123</v>
      </c>
    </row>
    <row r="1017" spans="1:10" x14ac:dyDescent="0.2">
      <c r="A1017" s="1056"/>
      <c r="B1017" s="532" t="s">
        <v>697</v>
      </c>
      <c r="C1017" s="533"/>
      <c r="D1017" s="534">
        <v>100000</v>
      </c>
      <c r="E1017" s="535"/>
      <c r="F1017" s="536" t="s">
        <v>698</v>
      </c>
    </row>
    <row r="1018" spans="1:10" x14ac:dyDescent="0.2">
      <c r="A1018" s="1055" t="s">
        <v>691</v>
      </c>
      <c r="B1018" s="532" t="s">
        <v>699</v>
      </c>
      <c r="C1018" s="533"/>
      <c r="D1018" s="534">
        <v>50000</v>
      </c>
      <c r="E1018" s="535"/>
      <c r="F1018" s="536" t="s">
        <v>113</v>
      </c>
    </row>
    <row r="1019" spans="1:10" x14ac:dyDescent="0.2">
      <c r="A1019" s="1056"/>
      <c r="B1019" s="532" t="s">
        <v>700</v>
      </c>
      <c r="C1019" s="533"/>
      <c r="D1019" s="534">
        <v>50000</v>
      </c>
      <c r="E1019" s="535"/>
      <c r="F1019" s="536" t="s">
        <v>701</v>
      </c>
    </row>
    <row r="1020" spans="1:10" x14ac:dyDescent="0.2">
      <c r="A1020" s="531" t="s">
        <v>702</v>
      </c>
      <c r="B1020" s="532" t="s">
        <v>703</v>
      </c>
      <c r="C1020" s="533"/>
      <c r="D1020" s="534">
        <v>50000</v>
      </c>
      <c r="E1020" s="535"/>
      <c r="F1020" s="536" t="s">
        <v>10</v>
      </c>
    </row>
    <row r="1021" spans="1:10" x14ac:dyDescent="0.2">
      <c r="A1021" s="537" t="s">
        <v>704</v>
      </c>
      <c r="B1021" s="532" t="s">
        <v>705</v>
      </c>
      <c r="C1021" s="533"/>
      <c r="D1021" s="534">
        <v>220000</v>
      </c>
      <c r="E1021" s="535"/>
      <c r="F1021" s="536" t="s">
        <v>113</v>
      </c>
    </row>
    <row r="1022" spans="1:10" x14ac:dyDescent="0.2">
      <c r="A1022" s="538" t="s">
        <v>627</v>
      </c>
      <c r="B1022" s="539" t="s">
        <v>706</v>
      </c>
      <c r="C1022" s="540"/>
      <c r="D1022" s="541">
        <f>SUM(D1023:D1025)</f>
        <v>400000</v>
      </c>
      <c r="E1022" s="542"/>
      <c r="F1022" s="543"/>
    </row>
    <row r="1023" spans="1:10" x14ac:dyDescent="0.2">
      <c r="A1023" s="544" t="s">
        <v>628</v>
      </c>
      <c r="B1023" s="545" t="s">
        <v>707</v>
      </c>
      <c r="C1023" s="546"/>
      <c r="D1023" s="547">
        <v>200000</v>
      </c>
      <c r="E1023" s="548"/>
      <c r="F1023" s="549" t="s">
        <v>113</v>
      </c>
    </row>
    <row r="1024" spans="1:10" x14ac:dyDescent="0.2">
      <c r="A1024" s="544" t="s">
        <v>629</v>
      </c>
      <c r="B1024" s="545" t="s">
        <v>563</v>
      </c>
      <c r="C1024" s="546"/>
      <c r="D1024" s="547">
        <v>100000</v>
      </c>
      <c r="E1024" s="548"/>
      <c r="F1024" s="549" t="s">
        <v>708</v>
      </c>
    </row>
    <row r="1025" spans="1:6" x14ac:dyDescent="0.2">
      <c r="A1025" s="544" t="s">
        <v>630</v>
      </c>
      <c r="B1025" s="545" t="s">
        <v>564</v>
      </c>
      <c r="C1025" s="546"/>
      <c r="D1025" s="547">
        <v>100000</v>
      </c>
      <c r="E1025" s="548"/>
      <c r="F1025" s="549" t="s">
        <v>124</v>
      </c>
    </row>
    <row r="1026" spans="1:6" ht="43.5" x14ac:dyDescent="0.2">
      <c r="A1026" s="550" t="s">
        <v>655</v>
      </c>
      <c r="B1026" s="551" t="s">
        <v>354</v>
      </c>
      <c r="C1026" s="552">
        <v>0.5</v>
      </c>
      <c r="D1026" s="553">
        <f>D1000*C1026</f>
        <v>3560908.82</v>
      </c>
      <c r="E1026" s="554"/>
      <c r="F1026" s="555"/>
    </row>
    <row r="1027" spans="1:6" x14ac:dyDescent="0.2">
      <c r="A1027" s="556" t="s">
        <v>709</v>
      </c>
      <c r="B1027" s="557" t="s">
        <v>710</v>
      </c>
      <c r="C1027" s="558">
        <v>0.08</v>
      </c>
      <c r="D1027" s="559">
        <f>C1027*D1026</f>
        <v>284872.70559999999</v>
      </c>
      <c r="E1027" s="560"/>
      <c r="F1027" s="561"/>
    </row>
    <row r="1028" spans="1:6" ht="30" x14ac:dyDescent="0.2">
      <c r="A1028" s="556" t="s">
        <v>711</v>
      </c>
      <c r="B1028" s="557" t="s">
        <v>712</v>
      </c>
      <c r="C1028" s="558">
        <v>0.06</v>
      </c>
      <c r="D1028" s="559">
        <f>D1026*C1028</f>
        <v>213654.52919999999</v>
      </c>
      <c r="E1028" s="561"/>
      <c r="F1028" s="561"/>
    </row>
    <row r="1029" spans="1:6" x14ac:dyDescent="0.2">
      <c r="A1029" s="556" t="s">
        <v>713</v>
      </c>
      <c r="B1029" s="557" t="s">
        <v>714</v>
      </c>
      <c r="C1029" s="558"/>
      <c r="D1029" s="559">
        <v>50000</v>
      </c>
      <c r="E1029" s="560"/>
      <c r="F1029" s="561" t="s">
        <v>338</v>
      </c>
    </row>
    <row r="1030" spans="1:6" x14ac:dyDescent="0.2">
      <c r="A1030" s="556" t="s">
        <v>715</v>
      </c>
      <c r="B1030" s="557" t="s">
        <v>290</v>
      </c>
      <c r="C1030" s="558">
        <v>2.5000000000000001E-2</v>
      </c>
      <c r="D1030" s="559">
        <f>C1030*D1026</f>
        <v>89022.720499999996</v>
      </c>
      <c r="E1030" s="560"/>
      <c r="F1030" s="561" t="s">
        <v>124</v>
      </c>
    </row>
    <row r="1031" spans="1:6" x14ac:dyDescent="0.2">
      <c r="A1031" s="556" t="s">
        <v>716</v>
      </c>
      <c r="B1031" s="557" t="s">
        <v>360</v>
      </c>
      <c r="C1031" s="558">
        <v>6.5000000000000002E-2</v>
      </c>
      <c r="D1031" s="559">
        <f>D1026*C1031</f>
        <v>231459.07329999999</v>
      </c>
      <c r="E1031" s="560"/>
      <c r="F1031" s="561" t="s">
        <v>717</v>
      </c>
    </row>
    <row r="1032" spans="1:6" x14ac:dyDescent="0.2">
      <c r="A1032" s="556" t="s">
        <v>718</v>
      </c>
      <c r="B1032" s="557" t="s">
        <v>361</v>
      </c>
      <c r="C1032" s="558">
        <v>0.06</v>
      </c>
      <c r="D1032" s="559">
        <f>C1032*D1026</f>
        <v>213654.52919999999</v>
      </c>
      <c r="E1032" s="560"/>
      <c r="F1032" s="561" t="s">
        <v>124</v>
      </c>
    </row>
    <row r="1033" spans="1:6" x14ac:dyDescent="0.2">
      <c r="A1033" s="556" t="s">
        <v>719</v>
      </c>
      <c r="B1033" s="557" t="s">
        <v>364</v>
      </c>
      <c r="C1033" s="558">
        <v>0.04</v>
      </c>
      <c r="D1033" s="559">
        <f>C1033*D1026</f>
        <v>142436.35279999999</v>
      </c>
      <c r="E1033" s="560"/>
      <c r="F1033" s="561"/>
    </row>
    <row r="1034" spans="1:6" x14ac:dyDescent="0.2">
      <c r="A1034" s="556" t="s">
        <v>720</v>
      </c>
      <c r="B1034" s="562" t="s">
        <v>366</v>
      </c>
      <c r="C1034" s="563">
        <v>0.06</v>
      </c>
      <c r="D1034" s="564">
        <f>D1026*C1034</f>
        <v>213654.52919999999</v>
      </c>
      <c r="E1034" s="565"/>
      <c r="F1034" s="561"/>
    </row>
    <row r="1035" spans="1:6" x14ac:dyDescent="0.2">
      <c r="A1035" s="556" t="s">
        <v>721</v>
      </c>
      <c r="B1035" s="562" t="s">
        <v>368</v>
      </c>
      <c r="C1035" s="563">
        <v>0.05</v>
      </c>
      <c r="D1035" s="564">
        <f>D1026*C1035</f>
        <v>178045.44099999999</v>
      </c>
      <c r="E1035" s="560"/>
      <c r="F1035" s="561"/>
    </row>
    <row r="1036" spans="1:6" x14ac:dyDescent="0.2">
      <c r="A1036" s="556" t="s">
        <v>722</v>
      </c>
      <c r="B1036" s="562" t="s">
        <v>723</v>
      </c>
      <c r="C1036" s="563">
        <v>0.04</v>
      </c>
      <c r="D1036" s="564">
        <f>C1036*D1026</f>
        <v>142436.35279999999</v>
      </c>
      <c r="E1036" s="560"/>
      <c r="F1036" s="561" t="s">
        <v>370</v>
      </c>
    </row>
    <row r="1037" spans="1:6" x14ac:dyDescent="0.2">
      <c r="A1037" s="556" t="s">
        <v>724</v>
      </c>
      <c r="B1037" s="562" t="s">
        <v>739</v>
      </c>
      <c r="C1037" s="563">
        <v>3.5000000000000003E-2</v>
      </c>
      <c r="D1037" s="564">
        <f>C1037*D1026</f>
        <v>124631.80870000001</v>
      </c>
      <c r="E1037" s="560"/>
      <c r="F1037" s="561"/>
    </row>
    <row r="1038" spans="1:6" x14ac:dyDescent="0.2">
      <c r="A1038" s="556" t="s">
        <v>726</v>
      </c>
      <c r="B1038" s="562" t="s">
        <v>299</v>
      </c>
      <c r="C1038" s="563">
        <v>0.03</v>
      </c>
      <c r="D1038" s="564">
        <f>C1038*D1026</f>
        <v>106827.26459999999</v>
      </c>
      <c r="E1038" s="560"/>
      <c r="F1038" s="561" t="s">
        <v>727</v>
      </c>
    </row>
    <row r="1039" spans="1:6" x14ac:dyDescent="0.2">
      <c r="A1039" s="556" t="s">
        <v>728</v>
      </c>
      <c r="B1039" s="562" t="s">
        <v>273</v>
      </c>
      <c r="C1039" s="563">
        <v>1.4999999999999999E-2</v>
      </c>
      <c r="D1039" s="564">
        <f>C1039*D1026</f>
        <v>53413.632299999997</v>
      </c>
      <c r="E1039" s="565"/>
      <c r="F1039" s="561"/>
    </row>
    <row r="1040" spans="1:6" x14ac:dyDescent="0.2">
      <c r="A1040" s="556" t="s">
        <v>729</v>
      </c>
      <c r="B1040" s="562" t="s">
        <v>261</v>
      </c>
      <c r="C1040" s="563">
        <v>2.5000000000000001E-2</v>
      </c>
      <c r="D1040" s="564">
        <f>C1040*D1026</f>
        <v>89022.720499999996</v>
      </c>
      <c r="E1040" s="560"/>
      <c r="F1040" s="561" t="s">
        <v>373</v>
      </c>
    </row>
    <row r="1041" spans="1:10" x14ac:dyDescent="0.2">
      <c r="A1041" s="556" t="s">
        <v>730</v>
      </c>
      <c r="B1041" s="562" t="s">
        <v>262</v>
      </c>
      <c r="C1041" s="563">
        <v>1.4999999999999999E-2</v>
      </c>
      <c r="D1041" s="564">
        <f>C1041*D1026</f>
        <v>53413.632299999997</v>
      </c>
      <c r="E1041" s="560"/>
      <c r="F1041" s="561"/>
    </row>
    <row r="1042" spans="1:10" x14ac:dyDescent="0.2">
      <c r="A1042" s="556" t="s">
        <v>731</v>
      </c>
      <c r="B1042" s="562" t="s">
        <v>341</v>
      </c>
      <c r="C1042" s="563">
        <v>7.0000000000000007E-2</v>
      </c>
      <c r="D1042" s="564">
        <f>C1042*D1026</f>
        <v>249263.61740000002</v>
      </c>
      <c r="E1042" s="565"/>
      <c r="F1042" s="561" t="s">
        <v>733</v>
      </c>
    </row>
    <row r="1043" spans="1:10" ht="30" x14ac:dyDescent="0.2">
      <c r="A1043" s="556" t="s">
        <v>732</v>
      </c>
      <c r="B1043" s="562" t="s">
        <v>100</v>
      </c>
      <c r="C1043" s="563">
        <v>0.05</v>
      </c>
      <c r="D1043" s="564">
        <f>C1043*D1026</f>
        <v>178045.44099999999</v>
      </c>
      <c r="E1043" s="566"/>
      <c r="F1043" s="560"/>
    </row>
    <row r="1044" spans="1:10" x14ac:dyDescent="0.2">
      <c r="A1044" s="550"/>
      <c r="B1044" s="567" t="s">
        <v>735</v>
      </c>
      <c r="C1044" s="568">
        <f>SUM(C1027:C1043)</f>
        <v>0.7200000000000002</v>
      </c>
      <c r="D1044" s="569">
        <f>SUM(D1027:D1043)</f>
        <v>2613854.3503999999</v>
      </c>
      <c r="E1044" s="570"/>
      <c r="F1044" s="554"/>
    </row>
    <row r="1045" spans="1:10" x14ac:dyDescent="0.2">
      <c r="A1045" s="550"/>
      <c r="B1045" s="567" t="s">
        <v>132</v>
      </c>
      <c r="C1045" s="568">
        <v>0.05</v>
      </c>
      <c r="D1045" s="569">
        <f>C1045*D1026</f>
        <v>178045.44099999999</v>
      </c>
      <c r="E1045" s="570"/>
      <c r="F1045" s="554"/>
    </row>
    <row r="1046" spans="1:10" ht="28.5" x14ac:dyDescent="0.2">
      <c r="A1046" s="550"/>
      <c r="B1046" s="567" t="s">
        <v>308</v>
      </c>
      <c r="C1046" s="568">
        <f>D1046/D1000</f>
        <v>0.18393665154279348</v>
      </c>
      <c r="D1046" s="569">
        <f>D1000-D1001-D1004-D1013-D1009-D1022-D1044</f>
        <v>1309963.2895999998</v>
      </c>
      <c r="E1046" s="570"/>
      <c r="F1046" s="554"/>
    </row>
    <row r="1047" spans="1:10" ht="28.5" x14ac:dyDescent="0.2">
      <c r="A1047" s="571"/>
      <c r="B1047" s="572" t="s">
        <v>375</v>
      </c>
      <c r="C1047" s="573">
        <f>D1047/D1000</f>
        <v>0.20893665154279351</v>
      </c>
      <c r="D1047" s="574">
        <f>D1046+D1045</f>
        <v>1488008.7305999999</v>
      </c>
      <c r="E1047" s="575"/>
      <c r="F1047" s="575"/>
    </row>
    <row r="1048" spans="1:10" ht="20.25" x14ac:dyDescent="0.2">
      <c r="A1048" s="1063" t="s">
        <v>673</v>
      </c>
      <c r="B1048" s="1064"/>
      <c r="C1048" s="1064"/>
      <c r="D1048" s="1064"/>
      <c r="E1048" s="1064"/>
      <c r="F1048" s="1065"/>
    </row>
    <row r="1049" spans="1:10" ht="72" customHeight="1" x14ac:dyDescent="0.2">
      <c r="A1049" s="804" t="s">
        <v>740</v>
      </c>
      <c r="B1049" s="805"/>
      <c r="C1049" s="805"/>
      <c r="D1049" s="805"/>
      <c r="E1049" s="805"/>
      <c r="F1049" s="806"/>
    </row>
    <row r="1050" spans="1:10" x14ac:dyDescent="0.2">
      <c r="A1050" s="173">
        <v>1</v>
      </c>
      <c r="B1050" s="254" t="s">
        <v>352</v>
      </c>
      <c r="C1050" s="175"/>
      <c r="D1050" s="798">
        <v>6752966.0099999998</v>
      </c>
      <c r="E1050" s="799"/>
      <c r="F1050" s="800"/>
    </row>
    <row r="1051" spans="1:10" x14ac:dyDescent="0.2">
      <c r="A1051" s="493">
        <v>2</v>
      </c>
      <c r="B1051" s="494" t="s">
        <v>499</v>
      </c>
      <c r="C1051" s="495"/>
      <c r="D1051" s="496">
        <f>SUM(D1052:D1053)</f>
        <v>750000</v>
      </c>
      <c r="E1051" s="496"/>
      <c r="F1051" s="496"/>
    </row>
    <row r="1052" spans="1:10" x14ac:dyDescent="0.2">
      <c r="A1052" s="497" t="s">
        <v>613</v>
      </c>
      <c r="B1052" s="498" t="s">
        <v>675</v>
      </c>
      <c r="C1052" s="499"/>
      <c r="D1052" s="500">
        <v>300000</v>
      </c>
      <c r="E1052" s="501"/>
      <c r="F1052" s="419" t="s">
        <v>676</v>
      </c>
    </row>
    <row r="1053" spans="1:10" x14ac:dyDescent="0.2">
      <c r="A1053" s="497" t="s">
        <v>615</v>
      </c>
      <c r="B1053" s="498" t="s">
        <v>552</v>
      </c>
      <c r="C1053" s="499"/>
      <c r="D1053" s="500">
        <v>450000</v>
      </c>
      <c r="E1053" s="501"/>
      <c r="F1053" s="419"/>
    </row>
    <row r="1054" spans="1:10" ht="18.75" x14ac:dyDescent="0.2">
      <c r="A1054" s="502" t="s">
        <v>623</v>
      </c>
      <c r="B1054" s="503" t="s">
        <v>677</v>
      </c>
      <c r="C1054" s="504"/>
      <c r="D1054" s="505">
        <f>SUM(D1055:D1058)</f>
        <v>1055000</v>
      </c>
      <c r="E1054" s="506"/>
      <c r="F1054" s="507"/>
      <c r="G1054" s="181"/>
      <c r="H1054" s="179"/>
      <c r="I1054" s="179"/>
      <c r="J1054" s="179"/>
    </row>
    <row r="1055" spans="1:10" ht="31.5" x14ac:dyDescent="0.2">
      <c r="A1055" s="508" t="s">
        <v>678</v>
      </c>
      <c r="B1055" s="509" t="s">
        <v>353</v>
      </c>
      <c r="C1055" s="510"/>
      <c r="D1055" s="511">
        <v>250000</v>
      </c>
      <c r="E1055" s="512"/>
      <c r="F1055" s="513" t="s">
        <v>737</v>
      </c>
      <c r="G1055" s="181"/>
      <c r="H1055" s="179"/>
      <c r="I1055" s="179"/>
      <c r="J1055" s="179"/>
    </row>
    <row r="1056" spans="1:10" ht="18.75" x14ac:dyDescent="0.2">
      <c r="A1056" s="508" t="s">
        <v>680</v>
      </c>
      <c r="B1056" s="509" t="s">
        <v>681</v>
      </c>
      <c r="C1056" s="510"/>
      <c r="D1056" s="511">
        <v>150000</v>
      </c>
      <c r="E1056" s="512"/>
      <c r="F1056" s="513"/>
      <c r="G1056" s="181"/>
      <c r="H1056" s="179"/>
      <c r="I1056" s="179"/>
      <c r="J1056" s="179"/>
    </row>
    <row r="1057" spans="1:10" ht="18.75" x14ac:dyDescent="0.2">
      <c r="A1057" s="508" t="s">
        <v>682</v>
      </c>
      <c r="B1057" s="509" t="s">
        <v>683</v>
      </c>
      <c r="C1057" s="510"/>
      <c r="D1057" s="511">
        <v>395000</v>
      </c>
      <c r="E1057" s="512"/>
      <c r="F1057" s="513" t="s">
        <v>113</v>
      </c>
      <c r="G1057" s="181"/>
      <c r="H1057" s="179"/>
      <c r="I1057" s="179"/>
      <c r="J1057" s="179"/>
    </row>
    <row r="1058" spans="1:10" ht="18.75" x14ac:dyDescent="0.2">
      <c r="A1058" s="508" t="s">
        <v>682</v>
      </c>
      <c r="B1058" s="509" t="s">
        <v>685</v>
      </c>
      <c r="C1058" s="510"/>
      <c r="D1058" s="511">
        <v>260000</v>
      </c>
      <c r="E1058" s="512"/>
      <c r="F1058" s="513" t="s">
        <v>113</v>
      </c>
      <c r="G1058" s="181"/>
      <c r="H1058" s="179"/>
      <c r="I1058" s="179"/>
      <c r="J1058" s="179"/>
    </row>
    <row r="1059" spans="1:10" ht="18.75" x14ac:dyDescent="0.2">
      <c r="A1059" s="514" t="s">
        <v>625</v>
      </c>
      <c r="B1059" s="515" t="s">
        <v>686</v>
      </c>
      <c r="C1059" s="516"/>
      <c r="D1059" s="517">
        <f>SUM(D1060:D1062)</f>
        <v>120000</v>
      </c>
      <c r="E1059" s="518"/>
      <c r="F1059" s="519"/>
      <c r="G1059" s="181"/>
      <c r="H1059" s="179"/>
      <c r="I1059" s="179"/>
      <c r="J1059" s="179"/>
    </row>
    <row r="1060" spans="1:10" ht="18.75" x14ac:dyDescent="0.2">
      <c r="A1060" s="520" t="s">
        <v>687</v>
      </c>
      <c r="B1060" s="521" t="s">
        <v>688</v>
      </c>
      <c r="C1060" s="522"/>
      <c r="D1060" s="523">
        <v>40000</v>
      </c>
      <c r="E1060" s="524"/>
      <c r="F1060" s="1057" t="s">
        <v>113</v>
      </c>
      <c r="G1060" s="181"/>
      <c r="H1060" s="179"/>
      <c r="I1060" s="179"/>
      <c r="J1060" s="179"/>
    </row>
    <row r="1061" spans="1:10" ht="18.75" x14ac:dyDescent="0.2">
      <c r="A1061" s="520" t="s">
        <v>689</v>
      </c>
      <c r="B1061" s="521" t="s">
        <v>690</v>
      </c>
      <c r="C1061" s="522"/>
      <c r="D1061" s="523">
        <v>40000</v>
      </c>
      <c r="E1061" s="524"/>
      <c r="F1061" s="1058"/>
      <c r="G1061" s="181"/>
      <c r="H1061" s="179"/>
      <c r="I1061" s="179"/>
      <c r="J1061" s="179"/>
    </row>
    <row r="1062" spans="1:10" ht="18.75" x14ac:dyDescent="0.2">
      <c r="A1062" s="520" t="s">
        <v>691</v>
      </c>
      <c r="B1062" s="521" t="s">
        <v>692</v>
      </c>
      <c r="C1062" s="522"/>
      <c r="D1062" s="523">
        <v>40000</v>
      </c>
      <c r="E1062" s="524"/>
      <c r="F1062" s="1059"/>
      <c r="G1062" s="181"/>
      <c r="H1062" s="179"/>
      <c r="I1062" s="179"/>
      <c r="J1062" s="179"/>
    </row>
    <row r="1063" spans="1:10" x14ac:dyDescent="0.2">
      <c r="A1063" s="525">
        <v>4</v>
      </c>
      <c r="B1063" s="526" t="s">
        <v>693</v>
      </c>
      <c r="C1063" s="527"/>
      <c r="D1063" s="528">
        <f>SUM(D1064:D1071)</f>
        <v>703000</v>
      </c>
      <c r="E1063" s="529"/>
      <c r="F1063" s="530"/>
    </row>
    <row r="1064" spans="1:10" x14ac:dyDescent="0.2">
      <c r="A1064" s="1055" t="s">
        <v>687</v>
      </c>
      <c r="B1064" s="532" t="s">
        <v>694</v>
      </c>
      <c r="C1064" s="533"/>
      <c r="D1064" s="534">
        <v>150000</v>
      </c>
      <c r="E1064" s="535"/>
      <c r="F1064" s="536" t="s">
        <v>695</v>
      </c>
    </row>
    <row r="1065" spans="1:10" x14ac:dyDescent="0.2">
      <c r="A1065" s="1056"/>
      <c r="B1065" s="532" t="s">
        <v>696</v>
      </c>
      <c r="C1065" s="533"/>
      <c r="D1065" s="534">
        <v>3000</v>
      </c>
      <c r="E1065" s="535"/>
      <c r="F1065" s="536"/>
    </row>
    <row r="1066" spans="1:10" x14ac:dyDescent="0.2">
      <c r="A1066" s="1055" t="s">
        <v>689</v>
      </c>
      <c r="B1066" s="532" t="s">
        <v>561</v>
      </c>
      <c r="C1066" s="533"/>
      <c r="D1066" s="534">
        <v>100000</v>
      </c>
      <c r="E1066" s="535"/>
      <c r="F1066" s="536" t="s">
        <v>123</v>
      </c>
    </row>
    <row r="1067" spans="1:10" x14ac:dyDescent="0.2">
      <c r="A1067" s="1056"/>
      <c r="B1067" s="532" t="s">
        <v>697</v>
      </c>
      <c r="C1067" s="533"/>
      <c r="D1067" s="534">
        <v>80000</v>
      </c>
      <c r="E1067" s="535"/>
      <c r="F1067" s="536" t="s">
        <v>698</v>
      </c>
    </row>
    <row r="1068" spans="1:10" x14ac:dyDescent="0.2">
      <c r="A1068" s="1055" t="s">
        <v>691</v>
      </c>
      <c r="B1068" s="532" t="s">
        <v>699</v>
      </c>
      <c r="C1068" s="533"/>
      <c r="D1068" s="534">
        <v>50000</v>
      </c>
      <c r="E1068" s="535"/>
      <c r="F1068" s="536" t="s">
        <v>113</v>
      </c>
    </row>
    <row r="1069" spans="1:10" x14ac:dyDescent="0.2">
      <c r="A1069" s="1056"/>
      <c r="B1069" s="532" t="s">
        <v>700</v>
      </c>
      <c r="C1069" s="533"/>
      <c r="D1069" s="534">
        <v>50000</v>
      </c>
      <c r="E1069" s="535"/>
      <c r="F1069" s="536" t="s">
        <v>701</v>
      </c>
    </row>
    <row r="1070" spans="1:10" x14ac:dyDescent="0.2">
      <c r="A1070" s="531" t="s">
        <v>702</v>
      </c>
      <c r="B1070" s="532" t="s">
        <v>703</v>
      </c>
      <c r="C1070" s="533"/>
      <c r="D1070" s="534">
        <v>50000</v>
      </c>
      <c r="E1070" s="535"/>
      <c r="F1070" s="536" t="s">
        <v>10</v>
      </c>
    </row>
    <row r="1071" spans="1:10" x14ac:dyDescent="0.2">
      <c r="A1071" s="537" t="s">
        <v>704</v>
      </c>
      <c r="B1071" s="532" t="s">
        <v>705</v>
      </c>
      <c r="C1071" s="533"/>
      <c r="D1071" s="534">
        <v>220000</v>
      </c>
      <c r="E1071" s="535"/>
      <c r="F1071" s="536" t="s">
        <v>113</v>
      </c>
    </row>
    <row r="1072" spans="1:10" x14ac:dyDescent="0.2">
      <c r="A1072" s="538" t="s">
        <v>627</v>
      </c>
      <c r="B1072" s="539" t="s">
        <v>706</v>
      </c>
      <c r="C1072" s="540"/>
      <c r="D1072" s="541">
        <f>SUM(D1073:D1075)</f>
        <v>430000</v>
      </c>
      <c r="E1072" s="542"/>
      <c r="F1072" s="543"/>
    </row>
    <row r="1073" spans="1:6" x14ac:dyDescent="0.2">
      <c r="A1073" s="544" t="s">
        <v>628</v>
      </c>
      <c r="B1073" s="545" t="s">
        <v>707</v>
      </c>
      <c r="C1073" s="546"/>
      <c r="D1073" s="547">
        <v>230000</v>
      </c>
      <c r="E1073" s="548"/>
      <c r="F1073" s="549" t="s">
        <v>113</v>
      </c>
    </row>
    <row r="1074" spans="1:6" x14ac:dyDescent="0.2">
      <c r="A1074" s="544" t="s">
        <v>629</v>
      </c>
      <c r="B1074" s="545" t="s">
        <v>563</v>
      </c>
      <c r="C1074" s="546"/>
      <c r="D1074" s="547">
        <v>100000</v>
      </c>
      <c r="E1074" s="548"/>
      <c r="F1074" s="549" t="s">
        <v>708</v>
      </c>
    </row>
    <row r="1075" spans="1:6" x14ac:dyDescent="0.2">
      <c r="A1075" s="544" t="s">
        <v>630</v>
      </c>
      <c r="B1075" s="545" t="s">
        <v>564</v>
      </c>
      <c r="C1075" s="546"/>
      <c r="D1075" s="547">
        <v>100000</v>
      </c>
      <c r="E1075" s="548"/>
      <c r="F1075" s="549" t="s">
        <v>124</v>
      </c>
    </row>
    <row r="1076" spans="1:6" ht="43.5" x14ac:dyDescent="0.2">
      <c r="A1076" s="550" t="s">
        <v>655</v>
      </c>
      <c r="B1076" s="551" t="s">
        <v>354</v>
      </c>
      <c r="C1076" s="552">
        <v>0.5</v>
      </c>
      <c r="D1076" s="553">
        <f>D1050*C1076</f>
        <v>3376483.0049999999</v>
      </c>
      <c r="E1076" s="554"/>
      <c r="F1076" s="555"/>
    </row>
    <row r="1077" spans="1:6" x14ac:dyDescent="0.2">
      <c r="A1077" s="556" t="s">
        <v>709</v>
      </c>
      <c r="B1077" s="557" t="s">
        <v>710</v>
      </c>
      <c r="C1077" s="558">
        <v>0.08</v>
      </c>
      <c r="D1077" s="559">
        <f>C1077*D1076</f>
        <v>270118.64039999997</v>
      </c>
      <c r="E1077" s="560"/>
      <c r="F1077" s="561"/>
    </row>
    <row r="1078" spans="1:6" ht="30" x14ac:dyDescent="0.2">
      <c r="A1078" s="556" t="s">
        <v>711</v>
      </c>
      <c r="B1078" s="557" t="s">
        <v>712</v>
      </c>
      <c r="C1078" s="558">
        <v>0.06</v>
      </c>
      <c r="D1078" s="559">
        <f>D1076*C1078</f>
        <v>202588.9803</v>
      </c>
      <c r="E1078" s="561"/>
      <c r="F1078" s="561"/>
    </row>
    <row r="1079" spans="1:6" x14ac:dyDescent="0.2">
      <c r="A1079" s="556" t="s">
        <v>713</v>
      </c>
      <c r="B1079" s="557" t="s">
        <v>714</v>
      </c>
      <c r="C1079" s="558"/>
      <c r="D1079" s="559">
        <v>50000</v>
      </c>
      <c r="E1079" s="560"/>
      <c r="F1079" s="561" t="s">
        <v>338</v>
      </c>
    </row>
    <row r="1080" spans="1:6" x14ac:dyDescent="0.2">
      <c r="A1080" s="556" t="s">
        <v>715</v>
      </c>
      <c r="B1080" s="557" t="s">
        <v>290</v>
      </c>
      <c r="C1080" s="558">
        <v>3.5000000000000003E-2</v>
      </c>
      <c r="D1080" s="559">
        <f>C1080*D1076</f>
        <v>118176.90517500001</v>
      </c>
      <c r="E1080" s="560"/>
      <c r="F1080" s="561" t="s">
        <v>124</v>
      </c>
    </row>
    <row r="1081" spans="1:6" x14ac:dyDescent="0.2">
      <c r="A1081" s="556" t="s">
        <v>716</v>
      </c>
      <c r="B1081" s="557" t="s">
        <v>360</v>
      </c>
      <c r="C1081" s="558">
        <v>6.5000000000000002E-2</v>
      </c>
      <c r="D1081" s="559">
        <f>D1076*C1081</f>
        <v>219471.39532499999</v>
      </c>
      <c r="E1081" s="560"/>
      <c r="F1081" s="561" t="s">
        <v>717</v>
      </c>
    </row>
    <row r="1082" spans="1:6" x14ac:dyDescent="0.2">
      <c r="A1082" s="556" t="s">
        <v>718</v>
      </c>
      <c r="B1082" s="557" t="s">
        <v>361</v>
      </c>
      <c r="C1082" s="558">
        <v>0.05</v>
      </c>
      <c r="D1082" s="559">
        <f>C1082*D1076</f>
        <v>168824.15025000001</v>
      </c>
      <c r="E1082" s="560"/>
      <c r="F1082" s="561" t="s">
        <v>124</v>
      </c>
    </row>
    <row r="1083" spans="1:6" x14ac:dyDescent="0.2">
      <c r="A1083" s="556" t="s">
        <v>719</v>
      </c>
      <c r="B1083" s="557" t="s">
        <v>364</v>
      </c>
      <c r="C1083" s="558">
        <v>0.05</v>
      </c>
      <c r="D1083" s="559">
        <f>C1083*D1076</f>
        <v>168824.15025000001</v>
      </c>
      <c r="E1083" s="560"/>
      <c r="F1083" s="561"/>
    </row>
    <row r="1084" spans="1:6" x14ac:dyDescent="0.2">
      <c r="A1084" s="556" t="s">
        <v>720</v>
      </c>
      <c r="B1084" s="562" t="s">
        <v>366</v>
      </c>
      <c r="C1084" s="563">
        <v>0.06</v>
      </c>
      <c r="D1084" s="564">
        <f>D1076*C1084</f>
        <v>202588.9803</v>
      </c>
      <c r="E1084" s="565"/>
      <c r="F1084" s="561"/>
    </row>
    <row r="1085" spans="1:6" x14ac:dyDescent="0.2">
      <c r="A1085" s="556" t="s">
        <v>721</v>
      </c>
      <c r="B1085" s="562" t="s">
        <v>368</v>
      </c>
      <c r="C1085" s="563">
        <v>0.06</v>
      </c>
      <c r="D1085" s="564">
        <f>D1076*C1085</f>
        <v>202588.9803</v>
      </c>
      <c r="E1085" s="560"/>
      <c r="F1085" s="561"/>
    </row>
    <row r="1086" spans="1:6" x14ac:dyDescent="0.2">
      <c r="A1086" s="556" t="s">
        <v>722</v>
      </c>
      <c r="B1086" s="562" t="s">
        <v>723</v>
      </c>
      <c r="C1086" s="563">
        <v>0.05</v>
      </c>
      <c r="D1086" s="564">
        <f>C1086*D1076</f>
        <v>168824.15025000001</v>
      </c>
      <c r="E1086" s="560"/>
      <c r="F1086" s="561" t="s">
        <v>370</v>
      </c>
    </row>
    <row r="1087" spans="1:6" x14ac:dyDescent="0.2">
      <c r="A1087" s="556" t="s">
        <v>724</v>
      </c>
      <c r="B1087" s="562" t="s">
        <v>739</v>
      </c>
      <c r="C1087" s="563">
        <v>0.04</v>
      </c>
      <c r="D1087" s="564">
        <f>C1087*D1076</f>
        <v>135059.32019999999</v>
      </c>
      <c r="E1087" s="560"/>
      <c r="F1087" s="561"/>
    </row>
    <row r="1088" spans="1:6" x14ac:dyDescent="0.2">
      <c r="A1088" s="556" t="s">
        <v>726</v>
      </c>
      <c r="B1088" s="562" t="s">
        <v>299</v>
      </c>
      <c r="C1088" s="563">
        <v>0.04</v>
      </c>
      <c r="D1088" s="564">
        <f>C1088*D1076</f>
        <v>135059.32019999999</v>
      </c>
      <c r="E1088" s="560"/>
      <c r="F1088" s="561" t="s">
        <v>727</v>
      </c>
    </row>
    <row r="1089" spans="1:10" x14ac:dyDescent="0.2">
      <c r="A1089" s="556" t="s">
        <v>728</v>
      </c>
      <c r="B1089" s="562" t="s">
        <v>273</v>
      </c>
      <c r="C1089" s="563">
        <v>1.4999999999999999E-2</v>
      </c>
      <c r="D1089" s="564">
        <f>C1089*D1076</f>
        <v>50647.245074999999</v>
      </c>
      <c r="E1089" s="565"/>
      <c r="F1089" s="561"/>
    </row>
    <row r="1090" spans="1:10" x14ac:dyDescent="0.2">
      <c r="A1090" s="556" t="s">
        <v>729</v>
      </c>
      <c r="B1090" s="562" t="s">
        <v>261</v>
      </c>
      <c r="C1090" s="563">
        <v>0.04</v>
      </c>
      <c r="D1090" s="564">
        <f>C1090*D1076</f>
        <v>135059.32019999999</v>
      </c>
      <c r="E1090" s="560"/>
      <c r="F1090" s="561" t="s">
        <v>373</v>
      </c>
    </row>
    <row r="1091" spans="1:10" x14ac:dyDescent="0.2">
      <c r="A1091" s="556" t="s">
        <v>730</v>
      </c>
      <c r="B1091" s="562" t="s">
        <v>262</v>
      </c>
      <c r="C1091" s="563">
        <v>1.4999999999999999E-2</v>
      </c>
      <c r="D1091" s="564">
        <f>C1091*D1076</f>
        <v>50647.245074999999</v>
      </c>
      <c r="E1091" s="560"/>
      <c r="F1091" s="561"/>
    </row>
    <row r="1092" spans="1:10" x14ac:dyDescent="0.2">
      <c r="A1092" s="556" t="s">
        <v>731</v>
      </c>
      <c r="B1092" s="562" t="s">
        <v>341</v>
      </c>
      <c r="C1092" s="563">
        <v>7.0000000000000007E-2</v>
      </c>
      <c r="D1092" s="564">
        <f>C1092*D1076</f>
        <v>236353.81035000001</v>
      </c>
      <c r="E1092" s="565"/>
      <c r="F1092" s="561" t="s">
        <v>733</v>
      </c>
    </row>
    <row r="1093" spans="1:10" ht="30" x14ac:dyDescent="0.2">
      <c r="A1093" s="556" t="s">
        <v>732</v>
      </c>
      <c r="B1093" s="562" t="s">
        <v>100</v>
      </c>
      <c r="C1093" s="563">
        <v>0.05</v>
      </c>
      <c r="D1093" s="564">
        <f>C1093*D1076</f>
        <v>168824.15025000001</v>
      </c>
      <c r="E1093" s="566"/>
      <c r="F1093" s="560"/>
    </row>
    <row r="1094" spans="1:10" x14ac:dyDescent="0.2">
      <c r="A1094" s="550"/>
      <c r="B1094" s="567" t="s">
        <v>735</v>
      </c>
      <c r="C1094" s="568">
        <f>SUM(C1077:C1093)</f>
        <v>0.78000000000000025</v>
      </c>
      <c r="D1094" s="569">
        <f>SUM(D1077:D1093)</f>
        <v>2683656.7438999997</v>
      </c>
      <c r="E1094" s="570"/>
      <c r="F1094" s="554"/>
    </row>
    <row r="1095" spans="1:10" x14ac:dyDescent="0.2">
      <c r="A1095" s="550"/>
      <c r="B1095" s="567" t="s">
        <v>132</v>
      </c>
      <c r="C1095" s="568">
        <v>0.05</v>
      </c>
      <c r="D1095" s="569">
        <f>C1095*D1076</f>
        <v>168824.15025000001</v>
      </c>
      <c r="E1095" s="570"/>
      <c r="F1095" s="554"/>
    </row>
    <row r="1096" spans="1:10" ht="28.5" x14ac:dyDescent="0.2">
      <c r="A1096" s="550"/>
      <c r="B1096" s="567" t="s">
        <v>308</v>
      </c>
      <c r="C1096" s="568">
        <f>D1096/D1050</f>
        <v>0.1497577900736391</v>
      </c>
      <c r="D1096" s="569">
        <f>D1050-D1051-D1054-D1063-D1059-D1072-D1094</f>
        <v>1011309.2661000001</v>
      </c>
      <c r="E1096" s="570"/>
      <c r="F1096" s="554"/>
    </row>
    <row r="1097" spans="1:10" ht="28.5" x14ac:dyDescent="0.2">
      <c r="A1097" s="571"/>
      <c r="B1097" s="572" t="s">
        <v>375</v>
      </c>
      <c r="C1097" s="573">
        <f>D1097/D1050</f>
        <v>0.17475779007363909</v>
      </c>
      <c r="D1097" s="574">
        <f>D1096+D1095</f>
        <v>1180133.4163500001</v>
      </c>
      <c r="E1097" s="575"/>
      <c r="F1097" s="575"/>
    </row>
    <row r="1098" spans="1:10" ht="20.25" x14ac:dyDescent="0.2">
      <c r="A1098" s="1063" t="s">
        <v>741</v>
      </c>
      <c r="B1098" s="1064"/>
      <c r="C1098" s="1064"/>
      <c r="D1098" s="1064"/>
      <c r="E1098" s="1064"/>
      <c r="F1098" s="1065"/>
      <c r="G1098" s="250" t="s">
        <v>348</v>
      </c>
      <c r="H1098" s="251" t="s">
        <v>349</v>
      </c>
      <c r="I1098" s="251"/>
      <c r="J1098" s="251" t="s">
        <v>350</v>
      </c>
    </row>
    <row r="1099" spans="1:10" ht="49.5" customHeight="1" x14ac:dyDescent="0.2">
      <c r="A1099" s="804" t="s">
        <v>742</v>
      </c>
      <c r="B1099" s="805"/>
      <c r="C1099" s="805"/>
      <c r="D1099" s="805"/>
      <c r="E1099" s="805"/>
      <c r="F1099" s="806"/>
      <c r="G1099" s="252">
        <v>0.1</v>
      </c>
      <c r="H1099" s="253">
        <f>D1100-D1100*G1099</f>
        <v>19130472</v>
      </c>
      <c r="I1099" s="253"/>
      <c r="J1099" s="253">
        <f>H1099-(D1101+D1103+D1108+D1128+D1129)</f>
        <v>6036058.6000000015</v>
      </c>
    </row>
    <row r="1100" spans="1:10" ht="18.75" x14ac:dyDescent="0.2">
      <c r="A1100" s="173">
        <v>1</v>
      </c>
      <c r="B1100" s="254" t="s">
        <v>352</v>
      </c>
      <c r="C1100" s="175"/>
      <c r="D1100" s="798">
        <v>21256080</v>
      </c>
      <c r="E1100" s="799"/>
      <c r="F1100" s="800"/>
      <c r="G1100" s="252">
        <v>0.15</v>
      </c>
      <c r="H1100" s="253">
        <f>D1100-D1100*G1100</f>
        <v>18067668</v>
      </c>
      <c r="I1100" s="253"/>
      <c r="J1100" s="253">
        <f>H1100-(D1101+D1103+D1108+D1128+D1129)</f>
        <v>4973254.6000000015</v>
      </c>
    </row>
    <row r="1101" spans="1:10" ht="18.75" x14ac:dyDescent="0.2">
      <c r="A1101" s="493">
        <v>2</v>
      </c>
      <c r="B1101" s="494" t="s">
        <v>499</v>
      </c>
      <c r="C1101" s="495"/>
      <c r="D1101" s="496">
        <f>SUM(D1102:D1102)</f>
        <v>1500000</v>
      </c>
      <c r="E1101" s="496"/>
      <c r="F1101" s="496"/>
      <c r="G1101" s="576">
        <v>0.2</v>
      </c>
      <c r="H1101" s="253">
        <f>D1100-D1100*G1101</f>
        <v>17004864</v>
      </c>
      <c r="I1101" s="253"/>
      <c r="J1101" s="253">
        <f>H1101-(D1101+D1103+D1108+D1128+D1129)</f>
        <v>3910450.6000000015</v>
      </c>
    </row>
    <row r="1102" spans="1:10" ht="18.75" x14ac:dyDescent="0.2">
      <c r="A1102" s="497" t="s">
        <v>613</v>
      </c>
      <c r="B1102" s="498" t="s">
        <v>743</v>
      </c>
      <c r="C1102" s="499"/>
      <c r="D1102" s="500">
        <v>1500000</v>
      </c>
      <c r="E1102" s="501"/>
      <c r="F1102" s="419" t="s">
        <v>676</v>
      </c>
      <c r="G1102" s="252">
        <v>0.25</v>
      </c>
      <c r="H1102" s="253">
        <f>D1100-D1100*G1102</f>
        <v>15942060</v>
      </c>
      <c r="I1102" s="253"/>
      <c r="J1102" s="253">
        <f>H1102-(D1101+D1103+D1108+D1128+D1129)</f>
        <v>2847646.6000000015</v>
      </c>
    </row>
    <row r="1103" spans="1:10" ht="18.75" x14ac:dyDescent="0.2">
      <c r="A1103" s="502" t="s">
        <v>623</v>
      </c>
      <c r="B1103" s="503" t="s">
        <v>744</v>
      </c>
      <c r="C1103" s="504"/>
      <c r="D1103" s="505">
        <f>SUM(D1104:D1107)</f>
        <v>1220000</v>
      </c>
      <c r="E1103" s="506"/>
      <c r="F1103" s="507"/>
      <c r="G1103" s="181"/>
      <c r="H1103" s="179"/>
      <c r="I1103" s="179"/>
      <c r="J1103" s="179"/>
    </row>
    <row r="1104" spans="1:10" ht="18.75" x14ac:dyDescent="0.2">
      <c r="A1104" s="508" t="s">
        <v>678</v>
      </c>
      <c r="B1104" s="509" t="s">
        <v>353</v>
      </c>
      <c r="C1104" s="510"/>
      <c r="D1104" s="511">
        <v>500000</v>
      </c>
      <c r="E1104" s="512"/>
      <c r="F1104" s="513"/>
      <c r="G1104" s="181"/>
      <c r="H1104" s="179"/>
      <c r="I1104" s="179"/>
      <c r="J1104" s="179"/>
    </row>
    <row r="1105" spans="1:10" ht="18.75" x14ac:dyDescent="0.2">
      <c r="A1105" s="508" t="s">
        <v>680</v>
      </c>
      <c r="B1105" s="509" t="s">
        <v>681</v>
      </c>
      <c r="C1105" s="510"/>
      <c r="D1105" s="511">
        <v>300000</v>
      </c>
      <c r="E1105" s="512"/>
      <c r="F1105" s="513"/>
      <c r="G1105" s="181"/>
      <c r="H1105" s="179"/>
      <c r="I1105" s="179"/>
      <c r="J1105" s="179"/>
    </row>
    <row r="1106" spans="1:10" ht="18.75" x14ac:dyDescent="0.2">
      <c r="A1106" s="508" t="s">
        <v>682</v>
      </c>
      <c r="B1106" s="509" t="s">
        <v>745</v>
      </c>
      <c r="C1106" s="510"/>
      <c r="D1106" s="511">
        <v>20000</v>
      </c>
      <c r="E1106" s="512"/>
      <c r="F1106" s="513"/>
      <c r="G1106" s="181"/>
      <c r="H1106" s="179"/>
      <c r="I1106" s="179"/>
      <c r="J1106" s="179"/>
    </row>
    <row r="1107" spans="1:10" ht="18.75" x14ac:dyDescent="0.2">
      <c r="A1107" s="508" t="s">
        <v>684</v>
      </c>
      <c r="B1107" s="509" t="s">
        <v>746</v>
      </c>
      <c r="C1107" s="510"/>
      <c r="D1107" s="511">
        <v>400000</v>
      </c>
      <c r="E1107" s="512"/>
      <c r="F1107" s="513"/>
      <c r="G1107" s="181"/>
      <c r="H1107" s="179"/>
      <c r="I1107" s="179"/>
      <c r="J1107" s="179"/>
    </row>
    <row r="1108" spans="1:10" ht="45" x14ac:dyDescent="0.2">
      <c r="A1108" s="538" t="s">
        <v>625</v>
      </c>
      <c r="B1108" s="539" t="s">
        <v>747</v>
      </c>
      <c r="C1108" s="540"/>
      <c r="D1108" s="577">
        <v>1500000</v>
      </c>
      <c r="E1108" s="542"/>
      <c r="F1108" s="543"/>
    </row>
    <row r="1109" spans="1:10" ht="43.5" x14ac:dyDescent="0.2">
      <c r="A1109" s="550" t="s">
        <v>655</v>
      </c>
      <c r="B1109" s="551" t="s">
        <v>354</v>
      </c>
      <c r="C1109" s="552">
        <v>0.5</v>
      </c>
      <c r="D1109" s="553">
        <f>D1100*C1109</f>
        <v>10628040</v>
      </c>
      <c r="E1109" s="554"/>
      <c r="F1109" s="555"/>
    </row>
    <row r="1110" spans="1:10" ht="30" x14ac:dyDescent="0.2">
      <c r="A1110" s="556" t="s">
        <v>709</v>
      </c>
      <c r="B1110" s="557" t="s">
        <v>748</v>
      </c>
      <c r="C1110" s="558">
        <v>0.06</v>
      </c>
      <c r="D1110" s="559">
        <f>C1110*D1109</f>
        <v>637682.4</v>
      </c>
      <c r="E1110" s="560"/>
      <c r="F1110" s="561"/>
    </row>
    <row r="1111" spans="1:10" x14ac:dyDescent="0.2">
      <c r="A1111" s="556" t="s">
        <v>711</v>
      </c>
      <c r="B1111" s="557" t="s">
        <v>355</v>
      </c>
      <c r="C1111" s="558">
        <v>0.04</v>
      </c>
      <c r="D1111" s="559">
        <f>C1111*D1109</f>
        <v>425121.60000000003</v>
      </c>
      <c r="E1111" s="560"/>
      <c r="F1111" s="561"/>
    </row>
    <row r="1112" spans="1:10" ht="30" x14ac:dyDescent="0.2">
      <c r="A1112" s="556" t="s">
        <v>713</v>
      </c>
      <c r="B1112" s="557" t="s">
        <v>712</v>
      </c>
      <c r="C1112" s="558">
        <v>0.04</v>
      </c>
      <c r="D1112" s="559">
        <f>D1109*C1112</f>
        <v>425121.60000000003</v>
      </c>
      <c r="E1112" s="561"/>
      <c r="F1112" s="561"/>
    </row>
    <row r="1113" spans="1:10" x14ac:dyDescent="0.2">
      <c r="A1113" s="556" t="s">
        <v>715</v>
      </c>
      <c r="B1113" s="557" t="s">
        <v>290</v>
      </c>
      <c r="C1113" s="558">
        <v>2.5000000000000001E-2</v>
      </c>
      <c r="D1113" s="559">
        <f>C1113*D1109</f>
        <v>265701</v>
      </c>
      <c r="E1113" s="560"/>
      <c r="F1113" s="561"/>
    </row>
    <row r="1114" spans="1:10" x14ac:dyDescent="0.2">
      <c r="A1114" s="556" t="s">
        <v>716</v>
      </c>
      <c r="B1114" s="557" t="s">
        <v>360</v>
      </c>
      <c r="C1114" s="558">
        <v>7.0000000000000007E-2</v>
      </c>
      <c r="D1114" s="559">
        <f>D1109*C1114</f>
        <v>743962.8</v>
      </c>
      <c r="E1114" s="560"/>
      <c r="F1114" s="561"/>
    </row>
    <row r="1115" spans="1:10" x14ac:dyDescent="0.2">
      <c r="A1115" s="556" t="s">
        <v>718</v>
      </c>
      <c r="B1115" s="557" t="s">
        <v>361</v>
      </c>
      <c r="C1115" s="558">
        <v>0.08</v>
      </c>
      <c r="D1115" s="559">
        <f>C1115*D1109</f>
        <v>850243.20000000007</v>
      </c>
      <c r="E1115" s="560"/>
      <c r="F1115" s="561"/>
    </row>
    <row r="1116" spans="1:10" x14ac:dyDescent="0.2">
      <c r="A1116" s="556" t="s">
        <v>719</v>
      </c>
      <c r="B1116" s="557" t="s">
        <v>364</v>
      </c>
      <c r="C1116" s="558">
        <v>3.5000000000000003E-2</v>
      </c>
      <c r="D1116" s="559">
        <f>C1116*D1109</f>
        <v>371981.4</v>
      </c>
      <c r="E1116" s="560"/>
      <c r="F1116" s="561"/>
    </row>
    <row r="1117" spans="1:10" x14ac:dyDescent="0.2">
      <c r="A1117" s="556" t="s">
        <v>720</v>
      </c>
      <c r="B1117" s="562" t="s">
        <v>366</v>
      </c>
      <c r="C1117" s="563">
        <v>0.04</v>
      </c>
      <c r="D1117" s="564">
        <f>D1109*C1117</f>
        <v>425121.60000000003</v>
      </c>
      <c r="E1117" s="565"/>
      <c r="F1117" s="561"/>
    </row>
    <row r="1118" spans="1:10" x14ac:dyDescent="0.2">
      <c r="A1118" s="556" t="s">
        <v>721</v>
      </c>
      <c r="B1118" s="562" t="s">
        <v>368</v>
      </c>
      <c r="C1118" s="563">
        <v>0.05</v>
      </c>
      <c r="D1118" s="564">
        <f>D1109*C1118</f>
        <v>531402</v>
      </c>
      <c r="E1118" s="560"/>
      <c r="F1118" s="561"/>
    </row>
    <row r="1119" spans="1:10" x14ac:dyDescent="0.2">
      <c r="A1119" s="556" t="s">
        <v>722</v>
      </c>
      <c r="B1119" s="562" t="s">
        <v>601</v>
      </c>
      <c r="C1119" s="563">
        <v>0.04</v>
      </c>
      <c r="D1119" s="564">
        <f>C1119*D1109</f>
        <v>425121.60000000003</v>
      </c>
      <c r="E1119" s="560"/>
      <c r="F1119" s="561"/>
    </row>
    <row r="1120" spans="1:10" x14ac:dyDescent="0.2">
      <c r="A1120" s="556" t="s">
        <v>724</v>
      </c>
      <c r="B1120" s="562" t="s">
        <v>739</v>
      </c>
      <c r="C1120" s="563">
        <v>0.04</v>
      </c>
      <c r="D1120" s="564">
        <f>C1120*D1109</f>
        <v>425121.60000000003</v>
      </c>
      <c r="E1120" s="560"/>
      <c r="F1120" s="561"/>
    </row>
    <row r="1121" spans="1:10" x14ac:dyDescent="0.2">
      <c r="A1121" s="556" t="s">
        <v>726</v>
      </c>
      <c r="B1121" s="562" t="s">
        <v>260</v>
      </c>
      <c r="C1121" s="563">
        <v>2.5000000000000001E-2</v>
      </c>
      <c r="D1121" s="564">
        <f>C1121*D1109</f>
        <v>265701</v>
      </c>
      <c r="E1121" s="560"/>
      <c r="F1121" s="561"/>
    </row>
    <row r="1122" spans="1:10" x14ac:dyDescent="0.2">
      <c r="A1122" s="556" t="s">
        <v>728</v>
      </c>
      <c r="B1122" s="562" t="s">
        <v>272</v>
      </c>
      <c r="C1122" s="563">
        <v>1.4999999999999999E-2</v>
      </c>
      <c r="D1122" s="564">
        <f>C1122*D1109</f>
        <v>159420.6</v>
      </c>
      <c r="E1122" s="560"/>
      <c r="F1122" s="561"/>
    </row>
    <row r="1123" spans="1:10" x14ac:dyDescent="0.2">
      <c r="A1123" s="556" t="s">
        <v>729</v>
      </c>
      <c r="B1123" s="562" t="s">
        <v>273</v>
      </c>
      <c r="C1123" s="563">
        <v>1.4999999999999999E-2</v>
      </c>
      <c r="D1123" s="564">
        <f>C1123*D1109</f>
        <v>159420.6</v>
      </c>
      <c r="E1123" s="565"/>
      <c r="F1123" s="561"/>
    </row>
    <row r="1124" spans="1:10" x14ac:dyDescent="0.2">
      <c r="A1124" s="556" t="s">
        <v>730</v>
      </c>
      <c r="B1124" s="562" t="s">
        <v>261</v>
      </c>
      <c r="C1124" s="563">
        <v>0.03</v>
      </c>
      <c r="D1124" s="564">
        <f>C1124*D1109</f>
        <v>318841.2</v>
      </c>
      <c r="E1124" s="560"/>
      <c r="F1124" s="561"/>
    </row>
    <row r="1125" spans="1:10" x14ac:dyDescent="0.2">
      <c r="A1125" s="556" t="s">
        <v>731</v>
      </c>
      <c r="B1125" s="562" t="s">
        <v>262</v>
      </c>
      <c r="C1125" s="563">
        <v>1.4999999999999999E-2</v>
      </c>
      <c r="D1125" s="564">
        <f>C1125*D1109</f>
        <v>159420.6</v>
      </c>
      <c r="E1125" s="560"/>
      <c r="F1125" s="561"/>
    </row>
    <row r="1126" spans="1:10" x14ac:dyDescent="0.2">
      <c r="A1126" s="556" t="s">
        <v>732</v>
      </c>
      <c r="B1126" s="562" t="s">
        <v>341</v>
      </c>
      <c r="C1126" s="563">
        <v>6.5000000000000002E-2</v>
      </c>
      <c r="D1126" s="564">
        <f>C1126*D1109</f>
        <v>690822.6</v>
      </c>
      <c r="E1126" s="565"/>
      <c r="F1126" s="561"/>
    </row>
    <row r="1127" spans="1:10" ht="30" x14ac:dyDescent="0.2">
      <c r="A1127" s="556" t="s">
        <v>734</v>
      </c>
      <c r="B1127" s="562" t="s">
        <v>100</v>
      </c>
      <c r="C1127" s="563">
        <v>0.05</v>
      </c>
      <c r="D1127" s="564">
        <f>C1127*D1109</f>
        <v>531402</v>
      </c>
      <c r="E1127" s="566"/>
      <c r="F1127" s="560"/>
    </row>
    <row r="1128" spans="1:10" x14ac:dyDescent="0.2">
      <c r="A1128" s="550"/>
      <c r="B1128" s="567" t="s">
        <v>735</v>
      </c>
      <c r="C1128" s="568">
        <f>SUM(C1110:C1127)</f>
        <v>0.7350000000000001</v>
      </c>
      <c r="D1128" s="569">
        <f>SUM(D1110:D1127)</f>
        <v>7811609.3999999985</v>
      </c>
      <c r="E1128" s="570"/>
      <c r="F1128" s="554"/>
    </row>
    <row r="1129" spans="1:10" x14ac:dyDescent="0.2">
      <c r="A1129" s="550"/>
      <c r="B1129" s="567" t="s">
        <v>132</v>
      </c>
      <c r="C1129" s="568">
        <v>0.1</v>
      </c>
      <c r="D1129" s="569">
        <f>C1129*D1109</f>
        <v>1062804</v>
      </c>
      <c r="E1129" s="570"/>
      <c r="F1129" s="554"/>
    </row>
    <row r="1130" spans="1:10" ht="28.5" x14ac:dyDescent="0.2">
      <c r="A1130" s="550"/>
      <c r="B1130" s="567" t="s">
        <v>308</v>
      </c>
      <c r="C1130" s="568">
        <f>D1130/D1100</f>
        <v>0.38396856805205859</v>
      </c>
      <c r="D1130" s="569">
        <f>D1100-D1101-D1103-D1108-D1128-D1129</f>
        <v>8161666.6000000015</v>
      </c>
      <c r="E1130" s="570"/>
      <c r="F1130" s="554"/>
    </row>
    <row r="1131" spans="1:10" ht="28.5" x14ac:dyDescent="0.2">
      <c r="A1131" s="571"/>
      <c r="B1131" s="572" t="s">
        <v>375</v>
      </c>
      <c r="C1131" s="573">
        <f>D1131/D1100</f>
        <v>0.43396856805205858</v>
      </c>
      <c r="D1131" s="574">
        <f>D1130+D1129</f>
        <v>9224470.6000000015</v>
      </c>
      <c r="E1131" s="575"/>
      <c r="F1131" s="575"/>
    </row>
    <row r="1132" spans="1:10" ht="24.75" customHeight="1" x14ac:dyDescent="0.2">
      <c r="A1132" s="1063" t="s">
        <v>741</v>
      </c>
      <c r="B1132" s="1064"/>
      <c r="C1132" s="1064"/>
      <c r="D1132" s="1064"/>
      <c r="E1132" s="1064"/>
      <c r="F1132" s="1065"/>
      <c r="G1132" s="250" t="s">
        <v>348</v>
      </c>
      <c r="H1132" s="251" t="s">
        <v>349</v>
      </c>
      <c r="I1132" s="251"/>
      <c r="J1132" s="251" t="s">
        <v>350</v>
      </c>
    </row>
    <row r="1133" spans="1:10" ht="20.25" x14ac:dyDescent="0.2">
      <c r="A1133" s="804" t="s">
        <v>749</v>
      </c>
      <c r="B1133" s="805"/>
      <c r="C1133" s="805"/>
      <c r="D1133" s="805"/>
      <c r="E1133" s="805"/>
      <c r="F1133" s="806"/>
      <c r="G1133" s="252">
        <v>0.1</v>
      </c>
      <c r="H1133" s="253">
        <f>D1134-D1134*G1133</f>
        <v>10575000</v>
      </c>
      <c r="I1133" s="253"/>
      <c r="J1133" s="253">
        <f>H1133-(D1135+D1137+D1142+D1163+D1164)</f>
        <v>1776250</v>
      </c>
    </row>
    <row r="1134" spans="1:10" ht="18.75" x14ac:dyDescent="0.2">
      <c r="A1134" s="173">
        <v>1</v>
      </c>
      <c r="B1134" s="254" t="s">
        <v>352</v>
      </c>
      <c r="C1134" s="175"/>
      <c r="D1134" s="798">
        <v>11750000</v>
      </c>
      <c r="E1134" s="799"/>
      <c r="F1134" s="800"/>
      <c r="G1134" s="252">
        <v>0.15</v>
      </c>
      <c r="H1134" s="253">
        <f>D1134-D1134*G1134</f>
        <v>9987500</v>
      </c>
      <c r="I1134" s="253"/>
      <c r="J1134" s="253">
        <f>H1134-(D1135+D1137+D1142+D1163+D1164)</f>
        <v>1188750</v>
      </c>
    </row>
    <row r="1135" spans="1:10" ht="18.75" x14ac:dyDescent="0.2">
      <c r="A1135" s="493">
        <v>2</v>
      </c>
      <c r="B1135" s="494" t="s">
        <v>499</v>
      </c>
      <c r="C1135" s="495"/>
      <c r="D1135" s="496">
        <f>SUM(D1136:D1136)</f>
        <v>1000000</v>
      </c>
      <c r="E1135" s="496"/>
      <c r="F1135" s="496"/>
      <c r="G1135" s="576">
        <v>0.2</v>
      </c>
      <c r="H1135" s="253">
        <f>D1134-D1134*G1135</f>
        <v>9400000</v>
      </c>
      <c r="I1135" s="253"/>
      <c r="J1135" s="253">
        <f>H1135-(D1135+D1137+D1142+D1163+D1164)</f>
        <v>601250</v>
      </c>
    </row>
    <row r="1136" spans="1:10" ht="18.75" x14ac:dyDescent="0.2">
      <c r="A1136" s="497" t="s">
        <v>613</v>
      </c>
      <c r="B1136" s="498" t="s">
        <v>743</v>
      </c>
      <c r="C1136" s="499"/>
      <c r="D1136" s="500">
        <v>1000000</v>
      </c>
      <c r="E1136" s="501"/>
      <c r="F1136" s="419" t="s">
        <v>676</v>
      </c>
      <c r="G1136" s="252"/>
      <c r="H1136" s="253"/>
      <c r="I1136" s="253"/>
      <c r="J1136" s="253"/>
    </row>
    <row r="1137" spans="1:10" ht="18.75" x14ac:dyDescent="0.2">
      <c r="A1137" s="502" t="s">
        <v>623</v>
      </c>
      <c r="B1137" s="503" t="s">
        <v>744</v>
      </c>
      <c r="C1137" s="504"/>
      <c r="D1137" s="505">
        <f>SUM(D1138:D1141)</f>
        <v>1100000</v>
      </c>
      <c r="E1137" s="506"/>
      <c r="F1137" s="507"/>
      <c r="G1137" s="181"/>
      <c r="H1137" s="179"/>
      <c r="I1137" s="179"/>
      <c r="J1137" s="179"/>
    </row>
    <row r="1138" spans="1:10" ht="18.75" x14ac:dyDescent="0.2">
      <c r="A1138" s="508" t="s">
        <v>678</v>
      </c>
      <c r="B1138" s="509" t="s">
        <v>353</v>
      </c>
      <c r="C1138" s="510"/>
      <c r="D1138" s="511">
        <v>500000</v>
      </c>
      <c r="E1138" s="512"/>
      <c r="F1138" s="513"/>
      <c r="G1138" s="181"/>
      <c r="H1138" s="179"/>
      <c r="I1138" s="179"/>
      <c r="J1138" s="179"/>
    </row>
    <row r="1139" spans="1:10" ht="18.75" x14ac:dyDescent="0.2">
      <c r="A1139" s="508" t="s">
        <v>680</v>
      </c>
      <c r="B1139" s="509" t="s">
        <v>681</v>
      </c>
      <c r="C1139" s="510"/>
      <c r="D1139" s="511">
        <v>150000</v>
      </c>
      <c r="E1139" s="512"/>
      <c r="F1139" s="513"/>
      <c r="G1139" s="181"/>
      <c r="H1139" s="179"/>
      <c r="I1139" s="179"/>
      <c r="J1139" s="179"/>
    </row>
    <row r="1140" spans="1:10" ht="18.75" x14ac:dyDescent="0.2">
      <c r="A1140" s="508" t="s">
        <v>682</v>
      </c>
      <c r="B1140" s="509" t="s">
        <v>745</v>
      </c>
      <c r="C1140" s="510"/>
      <c r="D1140" s="511">
        <v>200000</v>
      </c>
      <c r="E1140" s="512"/>
      <c r="F1140" s="513"/>
      <c r="G1140" s="181"/>
      <c r="H1140" s="179"/>
      <c r="I1140" s="179"/>
      <c r="J1140" s="179"/>
    </row>
    <row r="1141" spans="1:10" ht="18.75" x14ac:dyDescent="0.2">
      <c r="A1141" s="508" t="s">
        <v>684</v>
      </c>
      <c r="B1141" s="509" t="s">
        <v>746</v>
      </c>
      <c r="C1141" s="510"/>
      <c r="D1141" s="511">
        <v>250000</v>
      </c>
      <c r="E1141" s="512"/>
      <c r="F1141" s="513"/>
      <c r="G1141" s="181"/>
      <c r="H1141" s="179"/>
      <c r="I1141" s="179"/>
      <c r="J1141" s="179"/>
    </row>
    <row r="1142" spans="1:10" ht="18.75" x14ac:dyDescent="0.2">
      <c r="A1142" s="578" t="s">
        <v>625</v>
      </c>
      <c r="B1142" s="526" t="s">
        <v>750</v>
      </c>
      <c r="C1142" s="527"/>
      <c r="D1142" s="528">
        <f>SUM(D1143)</f>
        <v>1000000</v>
      </c>
      <c r="E1142" s="579"/>
      <c r="F1142" s="530"/>
      <c r="G1142" s="181"/>
      <c r="H1142" s="179"/>
      <c r="I1142" s="179"/>
      <c r="J1142" s="179"/>
    </row>
    <row r="1143" spans="1:10" ht="18.75" x14ac:dyDescent="0.2">
      <c r="A1143" s="537" t="s">
        <v>687</v>
      </c>
      <c r="B1143" s="532" t="s">
        <v>750</v>
      </c>
      <c r="C1143" s="533"/>
      <c r="D1143" s="534">
        <v>1000000</v>
      </c>
      <c r="E1143" s="580"/>
      <c r="F1143" s="536"/>
      <c r="G1143" s="181"/>
      <c r="H1143" s="179"/>
      <c r="I1143" s="179"/>
      <c r="J1143" s="179"/>
    </row>
    <row r="1144" spans="1:10" ht="43.5" x14ac:dyDescent="0.2">
      <c r="A1144" s="550" t="s">
        <v>625</v>
      </c>
      <c r="B1144" s="551" t="s">
        <v>354</v>
      </c>
      <c r="C1144" s="552">
        <v>0.5</v>
      </c>
      <c r="D1144" s="553">
        <f>D1134*C1144</f>
        <v>5875000</v>
      </c>
      <c r="E1144" s="554"/>
      <c r="F1144" s="555"/>
    </row>
    <row r="1145" spans="1:10" ht="30" x14ac:dyDescent="0.2">
      <c r="A1145" s="556" t="s">
        <v>687</v>
      </c>
      <c r="B1145" s="557" t="s">
        <v>748</v>
      </c>
      <c r="C1145" s="558">
        <v>0.06</v>
      </c>
      <c r="D1145" s="559">
        <f>C1145*D1144</f>
        <v>352500</v>
      </c>
      <c r="E1145" s="560"/>
      <c r="F1145" s="561"/>
    </row>
    <row r="1146" spans="1:10" x14ac:dyDescent="0.2">
      <c r="A1146" s="556" t="s">
        <v>689</v>
      </c>
      <c r="B1146" s="557" t="s">
        <v>355</v>
      </c>
      <c r="C1146" s="558">
        <v>0.04</v>
      </c>
      <c r="D1146" s="559">
        <f>C1146*D1144</f>
        <v>235000</v>
      </c>
      <c r="E1146" s="560"/>
      <c r="F1146" s="561"/>
    </row>
    <row r="1147" spans="1:10" ht="30" x14ac:dyDescent="0.2">
      <c r="A1147" s="556" t="s">
        <v>691</v>
      </c>
      <c r="B1147" s="557" t="s">
        <v>712</v>
      </c>
      <c r="C1147" s="558">
        <v>0.04</v>
      </c>
      <c r="D1147" s="559">
        <f>D1144*C1147</f>
        <v>235000</v>
      </c>
      <c r="E1147" s="561"/>
      <c r="F1147" s="561"/>
    </row>
    <row r="1148" spans="1:10" x14ac:dyDescent="0.2">
      <c r="A1148" s="556" t="s">
        <v>702</v>
      </c>
      <c r="B1148" s="557" t="s">
        <v>20</v>
      </c>
      <c r="C1148" s="558">
        <v>0.03</v>
      </c>
      <c r="D1148" s="559">
        <f>C1148*D1144</f>
        <v>176250</v>
      </c>
      <c r="E1148" s="560"/>
      <c r="F1148" s="561"/>
    </row>
    <row r="1149" spans="1:10" x14ac:dyDescent="0.2">
      <c r="A1149" s="556" t="s">
        <v>704</v>
      </c>
      <c r="B1149" s="557" t="s">
        <v>267</v>
      </c>
      <c r="C1149" s="558">
        <v>7.0000000000000007E-2</v>
      </c>
      <c r="D1149" s="559">
        <f>D1144*C1149</f>
        <v>411250.00000000006</v>
      </c>
      <c r="E1149" s="560"/>
      <c r="F1149" s="561"/>
    </row>
    <row r="1150" spans="1:10" x14ac:dyDescent="0.2">
      <c r="A1150" s="556" t="s">
        <v>751</v>
      </c>
      <c r="B1150" s="557" t="s">
        <v>256</v>
      </c>
      <c r="C1150" s="558">
        <v>0.1</v>
      </c>
      <c r="D1150" s="559">
        <f>C1150*D1144</f>
        <v>587500</v>
      </c>
      <c r="E1150" s="560"/>
      <c r="F1150" s="561"/>
    </row>
    <row r="1151" spans="1:10" x14ac:dyDescent="0.2">
      <c r="A1151" s="556" t="s">
        <v>752</v>
      </c>
      <c r="B1151" s="557" t="s">
        <v>319</v>
      </c>
      <c r="C1151" s="558">
        <v>4.4999999999999998E-2</v>
      </c>
      <c r="D1151" s="559">
        <f>C1151*D1144</f>
        <v>264375</v>
      </c>
      <c r="E1151" s="560"/>
      <c r="F1151" s="561"/>
    </row>
    <row r="1152" spans="1:10" x14ac:dyDescent="0.2">
      <c r="A1152" s="556" t="s">
        <v>753</v>
      </c>
      <c r="B1152" s="562" t="s">
        <v>754</v>
      </c>
      <c r="C1152" s="563">
        <v>0.05</v>
      </c>
      <c r="D1152" s="564">
        <f>D1144*C1152</f>
        <v>293750</v>
      </c>
      <c r="E1152" s="565"/>
      <c r="F1152" s="561"/>
    </row>
    <row r="1153" spans="1:6" x14ac:dyDescent="0.2">
      <c r="A1153" s="556" t="s">
        <v>755</v>
      </c>
      <c r="B1153" s="562" t="s">
        <v>323</v>
      </c>
      <c r="C1153" s="563">
        <v>0.06</v>
      </c>
      <c r="D1153" s="564">
        <f>D1144*C1153</f>
        <v>352500</v>
      </c>
      <c r="E1153" s="560"/>
      <c r="F1153" s="561"/>
    </row>
    <row r="1154" spans="1:6" x14ac:dyDescent="0.2">
      <c r="A1154" s="556" t="s">
        <v>756</v>
      </c>
      <c r="B1154" s="562" t="s">
        <v>642</v>
      </c>
      <c r="C1154" s="563">
        <v>0.04</v>
      </c>
      <c r="D1154" s="564">
        <f>C1154*D1144</f>
        <v>235000</v>
      </c>
      <c r="E1154" s="560"/>
      <c r="F1154" s="561"/>
    </row>
    <row r="1155" spans="1:6" x14ac:dyDescent="0.2">
      <c r="A1155" s="556" t="s">
        <v>757</v>
      </c>
      <c r="B1155" s="562" t="s">
        <v>259</v>
      </c>
      <c r="C1155" s="563">
        <v>7.0000000000000007E-2</v>
      </c>
      <c r="D1155" s="564">
        <f>C1155*D1144</f>
        <v>411250.00000000006</v>
      </c>
      <c r="E1155" s="560"/>
      <c r="F1155" s="561"/>
    </row>
    <row r="1156" spans="1:6" x14ac:dyDescent="0.2">
      <c r="A1156" s="556" t="s">
        <v>758</v>
      </c>
      <c r="B1156" s="562" t="s">
        <v>260</v>
      </c>
      <c r="C1156" s="563">
        <v>0.03</v>
      </c>
      <c r="D1156" s="564">
        <f>C1156*D1144</f>
        <v>176250</v>
      </c>
      <c r="E1156" s="560"/>
      <c r="F1156" s="561"/>
    </row>
    <row r="1157" spans="1:6" x14ac:dyDescent="0.2">
      <c r="A1157" s="556" t="s">
        <v>759</v>
      </c>
      <c r="B1157" s="562" t="s">
        <v>272</v>
      </c>
      <c r="C1157" s="563">
        <v>2.5000000000000001E-2</v>
      </c>
      <c r="D1157" s="564">
        <f>C1157*D1144</f>
        <v>146875</v>
      </c>
      <c r="E1157" s="560"/>
      <c r="F1157" s="561"/>
    </row>
    <row r="1158" spans="1:6" x14ac:dyDescent="0.2">
      <c r="A1158" s="556" t="s">
        <v>760</v>
      </c>
      <c r="B1158" s="562" t="s">
        <v>261</v>
      </c>
      <c r="C1158" s="563">
        <v>0.05</v>
      </c>
      <c r="D1158" s="564">
        <f>C1158*D1144</f>
        <v>293750</v>
      </c>
      <c r="E1158" s="565"/>
      <c r="F1158" s="561" t="s">
        <v>761</v>
      </c>
    </row>
    <row r="1159" spans="1:6" x14ac:dyDescent="0.2">
      <c r="A1159" s="556" t="s">
        <v>762</v>
      </c>
      <c r="B1159" s="562" t="s">
        <v>273</v>
      </c>
      <c r="C1159" s="563">
        <v>0.02</v>
      </c>
      <c r="D1159" s="564">
        <f>C1159*D1144</f>
        <v>117500</v>
      </c>
      <c r="E1159" s="560"/>
      <c r="F1159" s="561"/>
    </row>
    <row r="1160" spans="1:6" x14ac:dyDescent="0.2">
      <c r="A1160" s="556" t="s">
        <v>763</v>
      </c>
      <c r="B1160" s="562" t="s">
        <v>262</v>
      </c>
      <c r="C1160" s="563">
        <v>0.02</v>
      </c>
      <c r="D1160" s="564">
        <f>C1160*D1144</f>
        <v>117500</v>
      </c>
      <c r="E1160" s="560"/>
      <c r="F1160" s="561"/>
    </row>
    <row r="1161" spans="1:6" x14ac:dyDescent="0.2">
      <c r="A1161" s="556" t="s">
        <v>764</v>
      </c>
      <c r="B1161" s="562" t="s">
        <v>341</v>
      </c>
      <c r="C1161" s="563">
        <v>7.0000000000000007E-2</v>
      </c>
      <c r="D1161" s="564">
        <f>C1161*D1144</f>
        <v>411250.00000000006</v>
      </c>
      <c r="E1161" s="565"/>
      <c r="F1161" s="561"/>
    </row>
    <row r="1162" spans="1:6" ht="30" x14ac:dyDescent="0.2">
      <c r="A1162" s="556" t="s">
        <v>765</v>
      </c>
      <c r="B1162" s="562" t="s">
        <v>100</v>
      </c>
      <c r="C1162" s="563">
        <v>0.05</v>
      </c>
      <c r="D1162" s="564">
        <f>C1162*D1144</f>
        <v>293750</v>
      </c>
      <c r="E1162" s="566"/>
      <c r="F1162" s="560"/>
    </row>
    <row r="1163" spans="1:6" x14ac:dyDescent="0.2">
      <c r="A1163" s="550"/>
      <c r="B1163" s="567" t="s">
        <v>735</v>
      </c>
      <c r="C1163" s="568">
        <f>SUM(C1145:C1162)</f>
        <v>0.87000000000000011</v>
      </c>
      <c r="D1163" s="569">
        <f>SUM(D1145:D1162)</f>
        <v>5111250</v>
      </c>
      <c r="E1163" s="570"/>
      <c r="F1163" s="554"/>
    </row>
    <row r="1164" spans="1:6" x14ac:dyDescent="0.2">
      <c r="A1164" s="550"/>
      <c r="B1164" s="567" t="s">
        <v>132</v>
      </c>
      <c r="C1164" s="568">
        <v>0.1</v>
      </c>
      <c r="D1164" s="569">
        <f>C1164*D1144</f>
        <v>587500</v>
      </c>
      <c r="E1164" s="570"/>
      <c r="F1164" s="554"/>
    </row>
    <row r="1165" spans="1:6" ht="28.5" x14ac:dyDescent="0.2">
      <c r="A1165" s="550"/>
      <c r="B1165" s="567" t="s">
        <v>308</v>
      </c>
      <c r="C1165" s="568">
        <f>D1165/D1134</f>
        <v>0.25117021276595747</v>
      </c>
      <c r="D1165" s="569">
        <f>D1134-D1135-D1137-D1142-D1163-D1164</f>
        <v>2951250</v>
      </c>
      <c r="E1165" s="570"/>
      <c r="F1165" s="554"/>
    </row>
    <row r="1166" spans="1:6" ht="28.5" x14ac:dyDescent="0.2">
      <c r="A1166" s="571"/>
      <c r="B1166" s="572" t="s">
        <v>375</v>
      </c>
      <c r="C1166" s="573">
        <f>D1166/D1134</f>
        <v>0.30117021276595746</v>
      </c>
      <c r="D1166" s="574">
        <f>D1165+D1164</f>
        <v>3538750</v>
      </c>
      <c r="E1166" s="575"/>
      <c r="F1166" s="575"/>
    </row>
    <row r="1167" spans="1:6" ht="60.75" customHeight="1" x14ac:dyDescent="0.2">
      <c r="A1167" s="813" t="s">
        <v>766</v>
      </c>
      <c r="B1167" s="814"/>
      <c r="C1167" s="814"/>
      <c r="D1167" s="814"/>
      <c r="E1167" s="815"/>
      <c r="F1167" s="816"/>
    </row>
    <row r="1168" spans="1:6" ht="18.75" x14ac:dyDescent="0.2">
      <c r="A1168" s="198">
        <v>1</v>
      </c>
      <c r="B1168" s="1015" t="s">
        <v>767</v>
      </c>
      <c r="C1168" s="1016"/>
      <c r="D1168" s="803">
        <v>37859209</v>
      </c>
      <c r="E1168" s="803"/>
      <c r="F1168" s="803"/>
    </row>
    <row r="1169" spans="1:6" ht="18.75" x14ac:dyDescent="0.2">
      <c r="A1169" s="198"/>
      <c r="B1169" s="201"/>
      <c r="C1169" s="200"/>
      <c r="D1169" s="202"/>
      <c r="E1169" s="202"/>
      <c r="F1169" s="203"/>
    </row>
    <row r="1170" spans="1:6" ht="18.75" x14ac:dyDescent="0.2">
      <c r="A1170" s="464">
        <v>2</v>
      </c>
      <c r="B1170" s="465" t="s">
        <v>8</v>
      </c>
      <c r="C1170" s="466"/>
      <c r="D1170" s="467">
        <f>SUM(D1171:D1175)</f>
        <v>1800000</v>
      </c>
      <c r="E1170" s="467"/>
      <c r="F1170" s="468"/>
    </row>
    <row r="1171" spans="1:6" ht="37.5" x14ac:dyDescent="0.2">
      <c r="A1171" s="469" t="s">
        <v>613</v>
      </c>
      <c r="B1171" s="339" t="s">
        <v>614</v>
      </c>
      <c r="C1171" s="340"/>
      <c r="D1171" s="341">
        <v>640000</v>
      </c>
      <c r="E1171" s="341"/>
      <c r="F1171" s="470"/>
    </row>
    <row r="1172" spans="1:6" ht="37.5" x14ac:dyDescent="0.2">
      <c r="A1172" s="469" t="s">
        <v>615</v>
      </c>
      <c r="B1172" s="339" t="s">
        <v>616</v>
      </c>
      <c r="C1172" s="340"/>
      <c r="D1172" s="341">
        <v>230000</v>
      </c>
      <c r="E1172" s="341"/>
      <c r="F1172" s="470"/>
    </row>
    <row r="1173" spans="1:6" ht="37.5" x14ac:dyDescent="0.2">
      <c r="A1173" s="469" t="s">
        <v>617</v>
      </c>
      <c r="B1173" s="339" t="s">
        <v>618</v>
      </c>
      <c r="C1173" s="340"/>
      <c r="D1173" s="341">
        <v>590000</v>
      </c>
      <c r="E1173" s="341"/>
      <c r="F1173" s="470"/>
    </row>
    <row r="1174" spans="1:6" ht="56.25" x14ac:dyDescent="0.2">
      <c r="A1174" s="469" t="s">
        <v>619</v>
      </c>
      <c r="B1174" s="339" t="s">
        <v>620</v>
      </c>
      <c r="C1174" s="340"/>
      <c r="D1174" s="341">
        <v>190000</v>
      </c>
      <c r="E1174" s="341"/>
      <c r="F1174" s="470"/>
    </row>
    <row r="1175" spans="1:6" ht="37.5" x14ac:dyDescent="0.2">
      <c r="A1175" s="469" t="s">
        <v>621</v>
      </c>
      <c r="B1175" s="339" t="s">
        <v>622</v>
      </c>
      <c r="C1175" s="340"/>
      <c r="D1175" s="341">
        <v>150000</v>
      </c>
      <c r="E1175" s="341"/>
      <c r="F1175" s="470"/>
    </row>
    <row r="1176" spans="1:6" ht="55.5" customHeight="1" x14ac:dyDescent="0.2">
      <c r="A1176" s="471" t="s">
        <v>623</v>
      </c>
      <c r="B1176" s="199" t="s">
        <v>768</v>
      </c>
      <c r="C1176" s="200"/>
      <c r="D1176" s="202">
        <v>1500000</v>
      </c>
      <c r="E1176" s="202"/>
      <c r="F1176" s="203"/>
    </row>
    <row r="1177" spans="1:6" ht="42" customHeight="1" x14ac:dyDescent="0.2">
      <c r="A1177" s="471" t="s">
        <v>625</v>
      </c>
      <c r="B1177" s="199" t="s">
        <v>626</v>
      </c>
      <c r="C1177" s="200"/>
      <c r="D1177" s="202">
        <v>2100000</v>
      </c>
      <c r="E1177" s="202"/>
      <c r="F1177" s="581" t="s">
        <v>769</v>
      </c>
    </row>
    <row r="1178" spans="1:6" ht="18.75" x14ac:dyDescent="0.2">
      <c r="A1178" s="472" t="s">
        <v>627</v>
      </c>
      <c r="B1178" s="473" t="s">
        <v>289</v>
      </c>
      <c r="C1178" s="474">
        <v>0.6</v>
      </c>
      <c r="D1178" s="475">
        <f>D1168*C1178</f>
        <v>22715525.399999999</v>
      </c>
      <c r="E1178" s="476"/>
      <c r="F1178" s="477"/>
    </row>
    <row r="1179" spans="1:6" ht="18.75" x14ac:dyDescent="0.2">
      <c r="A1179" s="478" t="s">
        <v>628</v>
      </c>
      <c r="B1179" s="479" t="s">
        <v>336</v>
      </c>
      <c r="C1179" s="480">
        <v>2.5000000000000001E-2</v>
      </c>
      <c r="D1179" s="481">
        <f>C1179*D1178</f>
        <v>567888.13500000001</v>
      </c>
      <c r="E1179" s="482"/>
      <c r="F1179" s="483"/>
    </row>
    <row r="1180" spans="1:6" ht="18.75" x14ac:dyDescent="0.2">
      <c r="A1180" s="484" t="s">
        <v>629</v>
      </c>
      <c r="B1180" s="479" t="s">
        <v>357</v>
      </c>
      <c r="C1180" s="480">
        <v>0.04</v>
      </c>
      <c r="D1180" s="485">
        <f>D1178*C1180</f>
        <v>908621.01599999995</v>
      </c>
      <c r="E1180" s="486"/>
      <c r="F1180" s="363"/>
    </row>
    <row r="1181" spans="1:6" ht="18.75" x14ac:dyDescent="0.2">
      <c r="A1181" s="478" t="s">
        <v>630</v>
      </c>
      <c r="B1181" s="479" t="s">
        <v>631</v>
      </c>
      <c r="C1181" s="480">
        <v>0.04</v>
      </c>
      <c r="D1181" s="485">
        <f>C1181*D1178</f>
        <v>908621.01599999995</v>
      </c>
      <c r="E1181" s="487"/>
      <c r="F1181" s="488"/>
    </row>
    <row r="1182" spans="1:6" ht="37.5" x14ac:dyDescent="0.2">
      <c r="A1182" s="478" t="s">
        <v>632</v>
      </c>
      <c r="B1182" s="479" t="s">
        <v>633</v>
      </c>
      <c r="C1182" s="489">
        <v>0.04</v>
      </c>
      <c r="D1182" s="318">
        <f>D1178*C1182</f>
        <v>908621.01599999995</v>
      </c>
      <c r="E1182" s="490"/>
      <c r="F1182" s="319"/>
    </row>
    <row r="1183" spans="1:6" ht="18.75" x14ac:dyDescent="0.2">
      <c r="A1183" s="484" t="s">
        <v>634</v>
      </c>
      <c r="B1183" s="479" t="s">
        <v>20</v>
      </c>
      <c r="C1183" s="489">
        <v>1.4999999999999999E-2</v>
      </c>
      <c r="D1183" s="318">
        <f>D1178*C1183</f>
        <v>340732.88099999999</v>
      </c>
      <c r="E1183" s="490"/>
      <c r="F1183" s="319"/>
    </row>
    <row r="1184" spans="1:6" ht="18.75" x14ac:dyDescent="0.2">
      <c r="A1184" s="478" t="s">
        <v>635</v>
      </c>
      <c r="B1184" s="479" t="s">
        <v>267</v>
      </c>
      <c r="C1184" s="489">
        <v>7.0000000000000007E-2</v>
      </c>
      <c r="D1184" s="318">
        <f>D1178*C1184</f>
        <v>1590086.7779999999</v>
      </c>
      <c r="E1184" s="490"/>
      <c r="F1184" s="319"/>
    </row>
    <row r="1185" spans="1:6" ht="18.75" x14ac:dyDescent="0.2">
      <c r="A1185" s="478" t="s">
        <v>636</v>
      </c>
      <c r="B1185" s="479" t="s">
        <v>256</v>
      </c>
      <c r="C1185" s="489">
        <v>0.08</v>
      </c>
      <c r="D1185" s="318">
        <f>D1178*C1185</f>
        <v>1817242.0319999999</v>
      </c>
      <c r="E1185" s="490"/>
      <c r="F1185" s="319"/>
    </row>
    <row r="1186" spans="1:6" ht="18.75" x14ac:dyDescent="0.2">
      <c r="A1186" s="484" t="s">
        <v>637</v>
      </c>
      <c r="B1186" s="479" t="s">
        <v>319</v>
      </c>
      <c r="C1186" s="489">
        <v>0.05</v>
      </c>
      <c r="D1186" s="318">
        <f>D1178*C1186</f>
        <v>1135776.27</v>
      </c>
      <c r="E1186" s="490"/>
      <c r="F1186" s="319"/>
    </row>
    <row r="1187" spans="1:6" ht="18.75" x14ac:dyDescent="0.2">
      <c r="A1187" s="478" t="s">
        <v>638</v>
      </c>
      <c r="B1187" s="479" t="s">
        <v>294</v>
      </c>
      <c r="C1187" s="489">
        <v>0.03</v>
      </c>
      <c r="D1187" s="318">
        <f>D1178*C1187</f>
        <v>681465.76199999999</v>
      </c>
      <c r="E1187" s="490"/>
      <c r="F1187" s="319"/>
    </row>
    <row r="1188" spans="1:6" ht="18.75" x14ac:dyDescent="0.2">
      <c r="A1188" s="478" t="s">
        <v>639</v>
      </c>
      <c r="B1188" s="479" t="s">
        <v>322</v>
      </c>
      <c r="C1188" s="489">
        <v>0.03</v>
      </c>
      <c r="D1188" s="318">
        <f>D1178*C1188</f>
        <v>681465.76199999999</v>
      </c>
      <c r="E1188" s="490"/>
      <c r="F1188" s="319"/>
    </row>
    <row r="1189" spans="1:6" ht="18.75" x14ac:dyDescent="0.2">
      <c r="A1189" s="484" t="s">
        <v>640</v>
      </c>
      <c r="B1189" s="479" t="s">
        <v>323</v>
      </c>
      <c r="C1189" s="489">
        <v>3.5000000000000003E-2</v>
      </c>
      <c r="D1189" s="318">
        <f>D1178*C1189</f>
        <v>795043.38899999997</v>
      </c>
      <c r="E1189" s="490"/>
      <c r="F1189" s="319"/>
    </row>
    <row r="1190" spans="1:6" ht="18.75" x14ac:dyDescent="0.2">
      <c r="A1190" s="478" t="s">
        <v>641</v>
      </c>
      <c r="B1190" s="479" t="s">
        <v>642</v>
      </c>
      <c r="C1190" s="489">
        <v>0.05</v>
      </c>
      <c r="D1190" s="318">
        <f>D1178*C1190</f>
        <v>1135776.27</v>
      </c>
      <c r="E1190" s="490"/>
      <c r="F1190" s="319"/>
    </row>
    <row r="1191" spans="1:6" ht="18.75" x14ac:dyDescent="0.2">
      <c r="A1191" s="478" t="s">
        <v>643</v>
      </c>
      <c r="B1191" s="479" t="s">
        <v>259</v>
      </c>
      <c r="C1191" s="489">
        <v>3.5000000000000003E-2</v>
      </c>
      <c r="D1191" s="318">
        <f>D1178*C1191</f>
        <v>795043.38899999997</v>
      </c>
      <c r="E1191" s="490"/>
      <c r="F1191" s="319"/>
    </row>
    <row r="1192" spans="1:6" ht="18.75" x14ac:dyDescent="0.2">
      <c r="A1192" s="484" t="s">
        <v>644</v>
      </c>
      <c r="B1192" s="479" t="s">
        <v>260</v>
      </c>
      <c r="C1192" s="489">
        <v>1.4999999999999999E-2</v>
      </c>
      <c r="D1192" s="318">
        <f>D1178*C1192</f>
        <v>340732.88099999999</v>
      </c>
      <c r="E1192" s="490"/>
      <c r="F1192" s="319"/>
    </row>
    <row r="1193" spans="1:6" ht="18.75" x14ac:dyDescent="0.2">
      <c r="A1193" s="478" t="s">
        <v>645</v>
      </c>
      <c r="B1193" s="479" t="s">
        <v>272</v>
      </c>
      <c r="C1193" s="489">
        <v>0.03</v>
      </c>
      <c r="D1193" s="318">
        <f>D1178*C1193</f>
        <v>681465.76199999999</v>
      </c>
      <c r="E1193" s="490"/>
      <c r="F1193" s="319"/>
    </row>
    <row r="1194" spans="1:6" ht="18.75" x14ac:dyDescent="0.2">
      <c r="A1194" s="478" t="s">
        <v>646</v>
      </c>
      <c r="B1194" s="479" t="s">
        <v>261</v>
      </c>
      <c r="C1194" s="489">
        <v>1.4999999999999999E-2</v>
      </c>
      <c r="D1194" s="318">
        <f>D1178*C1194</f>
        <v>340732.88099999999</v>
      </c>
      <c r="E1194" s="490"/>
      <c r="F1194" s="319"/>
    </row>
    <row r="1195" spans="1:6" ht="18.75" x14ac:dyDescent="0.2">
      <c r="A1195" s="484" t="s">
        <v>647</v>
      </c>
      <c r="B1195" s="479" t="s">
        <v>273</v>
      </c>
      <c r="C1195" s="489">
        <v>7.4999999999999997E-3</v>
      </c>
      <c r="D1195" s="318">
        <f>D1178*C1195</f>
        <v>170366.4405</v>
      </c>
      <c r="E1195" s="490"/>
      <c r="F1195" s="319"/>
    </row>
    <row r="1196" spans="1:6" ht="18.75" x14ac:dyDescent="0.2">
      <c r="A1196" s="478" t="s">
        <v>648</v>
      </c>
      <c r="B1196" s="479" t="s">
        <v>262</v>
      </c>
      <c r="C1196" s="489">
        <v>7.4999999999999997E-3</v>
      </c>
      <c r="D1196" s="318">
        <f>D1178*C1196</f>
        <v>170366.4405</v>
      </c>
      <c r="E1196" s="490"/>
      <c r="F1196" s="319"/>
    </row>
    <row r="1197" spans="1:6" ht="18.75" x14ac:dyDescent="0.2">
      <c r="A1197" s="478" t="s">
        <v>649</v>
      </c>
      <c r="B1197" s="479" t="s">
        <v>341</v>
      </c>
      <c r="C1197" s="489">
        <v>0.05</v>
      </c>
      <c r="D1197" s="318">
        <f>D1178*C1197</f>
        <v>1135776.27</v>
      </c>
      <c r="E1197" s="490"/>
      <c r="F1197" s="319"/>
    </row>
    <row r="1198" spans="1:6" ht="18.75" x14ac:dyDescent="0.2">
      <c r="A1198" s="484" t="s">
        <v>650</v>
      </c>
      <c r="B1198" s="479" t="s">
        <v>651</v>
      </c>
      <c r="C1198" s="489">
        <v>2.5000000000000001E-3</v>
      </c>
      <c r="D1198" s="318">
        <f>C1198*D1168</f>
        <v>94648.022500000006</v>
      </c>
      <c r="E1198" s="490"/>
      <c r="F1198" s="319"/>
    </row>
    <row r="1199" spans="1:6" ht="18.75" x14ac:dyDescent="0.2">
      <c r="A1199" s="478" t="s">
        <v>652</v>
      </c>
      <c r="B1199" s="479" t="s">
        <v>653</v>
      </c>
      <c r="C1199" s="489">
        <v>4.4999999999999998E-2</v>
      </c>
      <c r="D1199" s="318">
        <f>C1199*D1178</f>
        <v>1022198.6429999999</v>
      </c>
      <c r="E1199" s="490"/>
      <c r="F1199" s="319"/>
    </row>
    <row r="1200" spans="1:6" ht="18.75" x14ac:dyDescent="0.2">
      <c r="A1200" s="491"/>
      <c r="B1200" s="473" t="s">
        <v>654</v>
      </c>
      <c r="C1200" s="474">
        <f>SUM(C1179:C1197)</f>
        <v>0.66500000000000015</v>
      </c>
      <c r="D1200" s="476">
        <f>SUM(D1179:D1199)</f>
        <v>16222671.056499999</v>
      </c>
      <c r="E1200" s="492"/>
      <c r="F1200" s="477"/>
    </row>
    <row r="1201" spans="1:6" ht="18.75" x14ac:dyDescent="0.2">
      <c r="A1201" s="471" t="s">
        <v>655</v>
      </c>
      <c r="B1201" s="201" t="s">
        <v>656</v>
      </c>
      <c r="C1201" s="206"/>
      <c r="D1201" s="202"/>
      <c r="E1201" s="207"/>
      <c r="F1201" s="203"/>
    </row>
    <row r="1202" spans="1:6" ht="18.75" x14ac:dyDescent="0.2">
      <c r="A1202" s="471" t="s">
        <v>657</v>
      </c>
      <c r="B1202" s="201" t="s">
        <v>343</v>
      </c>
      <c r="C1202" s="206">
        <v>2.5000000000000001E-2</v>
      </c>
      <c r="D1202" s="202">
        <f>C1202*D1178</f>
        <v>567888.13500000001</v>
      </c>
      <c r="E1202" s="207"/>
      <c r="F1202" s="203"/>
    </row>
    <row r="1203" spans="1:6" ht="18.75" x14ac:dyDescent="0.2">
      <c r="A1203" s="471" t="s">
        <v>658</v>
      </c>
      <c r="B1203" s="201" t="s">
        <v>659</v>
      </c>
      <c r="C1203" s="206">
        <v>0.08</v>
      </c>
      <c r="D1203" s="202">
        <f>C1203*D1178</f>
        <v>1817242.0319999999</v>
      </c>
      <c r="E1203" s="207"/>
      <c r="F1203" s="203"/>
    </row>
    <row r="1204" spans="1:6" ht="56.25" x14ac:dyDescent="0.2">
      <c r="A1204" s="471" t="s">
        <v>660</v>
      </c>
      <c r="B1204" s="201" t="s">
        <v>770</v>
      </c>
      <c r="C1204" s="206">
        <v>0.04</v>
      </c>
      <c r="D1204" s="202">
        <f>D1168*C1204</f>
        <v>1514368.36</v>
      </c>
      <c r="E1204" s="211"/>
      <c r="F1204" s="582" t="s">
        <v>771</v>
      </c>
    </row>
    <row r="1205" spans="1:6" ht="18.75" x14ac:dyDescent="0.2">
      <c r="A1205" s="471" t="s">
        <v>772</v>
      </c>
      <c r="B1205" s="583" t="s">
        <v>132</v>
      </c>
      <c r="C1205" s="206">
        <v>0.08</v>
      </c>
      <c r="D1205" s="202">
        <f>C1205*D1168</f>
        <v>3028736.72</v>
      </c>
      <c r="E1205" s="211"/>
      <c r="F1205" s="212"/>
    </row>
    <row r="1206" spans="1:6" ht="31.5" x14ac:dyDescent="0.2">
      <c r="A1206" s="471"/>
      <c r="B1206" s="185" t="s">
        <v>284</v>
      </c>
      <c r="C1206" s="195">
        <f>D1206/D1168</f>
        <v>0.24586627513797241</v>
      </c>
      <c r="D1206" s="213">
        <f>D1168-D1170-D1176-D1177-D1200-D1202-D1203-D1204-D1205</f>
        <v>9308302.6965000015</v>
      </c>
      <c r="E1206" s="214"/>
      <c r="F1206" s="203"/>
    </row>
    <row r="1207" spans="1:6" ht="19.5" x14ac:dyDescent="0.2">
      <c r="A1207" s="471"/>
      <c r="B1207" s="215" t="s">
        <v>661</v>
      </c>
      <c r="C1207" s="195">
        <f>D1206/D1168</f>
        <v>0.24586627513797241</v>
      </c>
      <c r="D1207" s="202">
        <f>D1204+D1206</f>
        <v>10822671.056500001</v>
      </c>
      <c r="E1207" s="214"/>
      <c r="F1207" s="203"/>
    </row>
    <row r="1208" spans="1:6" x14ac:dyDescent="0.2">
      <c r="A1208" s="218"/>
      <c r="B1208" s="219" t="s">
        <v>301</v>
      </c>
      <c r="C1208" s="220"/>
      <c r="D1208" s="218"/>
      <c r="E1208" s="221"/>
      <c r="F1208" s="218"/>
    </row>
    <row r="1209" spans="1:6" ht="34.5" customHeight="1" x14ac:dyDescent="0.2">
      <c r="A1209" s="218"/>
      <c r="B1209" s="218" t="s">
        <v>302</v>
      </c>
      <c r="C1209" s="1060" t="s">
        <v>773</v>
      </c>
      <c r="D1209" s="1061"/>
      <c r="E1209" s="1061"/>
      <c r="F1209" s="1062"/>
    </row>
    <row r="1210" spans="1:6" x14ac:dyDescent="0.2">
      <c r="A1210" s="218"/>
      <c r="B1210" s="218" t="s">
        <v>303</v>
      </c>
      <c r="C1210" s="817"/>
      <c r="D1210" s="818"/>
      <c r="E1210" s="818"/>
      <c r="F1210" s="819"/>
    </row>
    <row r="1211" spans="1:6" ht="20.25" x14ac:dyDescent="0.2">
      <c r="A1211" s="1063" t="s">
        <v>673</v>
      </c>
      <c r="B1211" s="1064"/>
      <c r="C1211" s="1064"/>
      <c r="D1211" s="1064"/>
      <c r="E1211" s="1064"/>
      <c r="F1211" s="1065"/>
    </row>
    <row r="1212" spans="1:6" ht="74.25" customHeight="1" x14ac:dyDescent="0.2">
      <c r="A1212" s="804" t="s">
        <v>774</v>
      </c>
      <c r="B1212" s="805"/>
      <c r="C1212" s="805"/>
      <c r="D1212" s="805"/>
      <c r="E1212" s="805"/>
      <c r="F1212" s="806"/>
    </row>
    <row r="1213" spans="1:6" x14ac:dyDescent="0.2">
      <c r="A1213" s="173">
        <v>1</v>
      </c>
      <c r="B1213" s="254" t="s">
        <v>352</v>
      </c>
      <c r="C1213" s="175"/>
      <c r="D1213" s="798">
        <v>8271008.1799999997</v>
      </c>
      <c r="E1213" s="799"/>
      <c r="F1213" s="800"/>
    </row>
    <row r="1214" spans="1:6" x14ac:dyDescent="0.2">
      <c r="A1214" s="493">
        <v>2</v>
      </c>
      <c r="B1214" s="494" t="s">
        <v>499</v>
      </c>
      <c r="C1214" s="495"/>
      <c r="D1214" s="496">
        <f>SUM(D1215:D1216)</f>
        <v>800000</v>
      </c>
      <c r="E1214" s="496"/>
      <c r="F1214" s="496"/>
    </row>
    <row r="1215" spans="1:6" x14ac:dyDescent="0.2">
      <c r="A1215" s="497" t="s">
        <v>613</v>
      </c>
      <c r="B1215" s="498" t="s">
        <v>675</v>
      </c>
      <c r="C1215" s="499"/>
      <c r="D1215" s="500">
        <v>350000</v>
      </c>
      <c r="E1215" s="501"/>
      <c r="F1215" s="419" t="s">
        <v>676</v>
      </c>
    </row>
    <row r="1216" spans="1:6" x14ac:dyDescent="0.2">
      <c r="A1216" s="497" t="s">
        <v>615</v>
      </c>
      <c r="B1216" s="498" t="s">
        <v>552</v>
      </c>
      <c r="C1216" s="499"/>
      <c r="D1216" s="500">
        <v>450000</v>
      </c>
      <c r="E1216" s="501"/>
      <c r="F1216" s="419"/>
    </row>
    <row r="1217" spans="1:6" x14ac:dyDescent="0.2">
      <c r="A1217" s="502" t="s">
        <v>623</v>
      </c>
      <c r="B1217" s="503" t="s">
        <v>677</v>
      </c>
      <c r="C1217" s="504"/>
      <c r="D1217" s="505">
        <f>SUM(D1218:D1220)</f>
        <v>900000</v>
      </c>
      <c r="E1217" s="506"/>
      <c r="F1217" s="507"/>
    </row>
    <row r="1218" spans="1:6" ht="31.5" x14ac:dyDescent="0.2">
      <c r="A1218" s="508" t="s">
        <v>678</v>
      </c>
      <c r="B1218" s="509" t="s">
        <v>353</v>
      </c>
      <c r="C1218" s="510"/>
      <c r="D1218" s="511">
        <v>350000</v>
      </c>
      <c r="E1218" s="512"/>
      <c r="F1218" s="513" t="s">
        <v>737</v>
      </c>
    </row>
    <row r="1219" spans="1:6" x14ac:dyDescent="0.2">
      <c r="A1219" s="508" t="s">
        <v>680</v>
      </c>
      <c r="B1219" s="509" t="s">
        <v>681</v>
      </c>
      <c r="C1219" s="510"/>
      <c r="D1219" s="511">
        <v>150000</v>
      </c>
      <c r="E1219" s="512"/>
      <c r="F1219" s="513"/>
    </row>
    <row r="1220" spans="1:6" x14ac:dyDescent="0.2">
      <c r="A1220" s="508" t="s">
        <v>682</v>
      </c>
      <c r="B1220" s="509" t="s">
        <v>683</v>
      </c>
      <c r="C1220" s="510"/>
      <c r="D1220" s="511">
        <v>400000</v>
      </c>
      <c r="E1220" s="512"/>
      <c r="F1220" s="513"/>
    </row>
    <row r="1221" spans="1:6" x14ac:dyDescent="0.2">
      <c r="A1221" s="514" t="s">
        <v>625</v>
      </c>
      <c r="B1221" s="515" t="s">
        <v>686</v>
      </c>
      <c r="C1221" s="516"/>
      <c r="D1221" s="517">
        <f>SUM(D1222:D1224)</f>
        <v>165000</v>
      </c>
      <c r="E1221" s="518"/>
      <c r="F1221" s="519"/>
    </row>
    <row r="1222" spans="1:6" x14ac:dyDescent="0.2">
      <c r="A1222" s="520" t="s">
        <v>687</v>
      </c>
      <c r="B1222" s="521" t="s">
        <v>688</v>
      </c>
      <c r="C1222" s="522"/>
      <c r="D1222" s="523">
        <v>55000</v>
      </c>
      <c r="E1222" s="524"/>
      <c r="F1222" s="1057" t="s">
        <v>113</v>
      </c>
    </row>
    <row r="1223" spans="1:6" x14ac:dyDescent="0.2">
      <c r="A1223" s="520" t="s">
        <v>689</v>
      </c>
      <c r="B1223" s="521" t="s">
        <v>690</v>
      </c>
      <c r="C1223" s="522"/>
      <c r="D1223" s="523">
        <v>55000</v>
      </c>
      <c r="E1223" s="524"/>
      <c r="F1223" s="1058"/>
    </row>
    <row r="1224" spans="1:6" x14ac:dyDescent="0.2">
      <c r="A1224" s="520" t="s">
        <v>691</v>
      </c>
      <c r="B1224" s="521" t="s">
        <v>692</v>
      </c>
      <c r="C1224" s="522"/>
      <c r="D1224" s="523">
        <v>55000</v>
      </c>
      <c r="E1224" s="524"/>
      <c r="F1224" s="1059"/>
    </row>
    <row r="1225" spans="1:6" x14ac:dyDescent="0.2">
      <c r="A1225" s="525">
        <v>4</v>
      </c>
      <c r="B1225" s="526" t="s">
        <v>693</v>
      </c>
      <c r="C1225" s="527"/>
      <c r="D1225" s="528">
        <f>SUM(D1226:D1234)</f>
        <v>1395000</v>
      </c>
      <c r="E1225" s="529"/>
      <c r="F1225" s="530"/>
    </row>
    <row r="1226" spans="1:6" x14ac:dyDescent="0.2">
      <c r="A1226" s="1055" t="s">
        <v>687</v>
      </c>
      <c r="B1226" s="532" t="s">
        <v>694</v>
      </c>
      <c r="C1226" s="533"/>
      <c r="D1226" s="534">
        <v>220000</v>
      </c>
      <c r="E1226" s="535"/>
      <c r="F1226" s="536"/>
    </row>
    <row r="1227" spans="1:6" x14ac:dyDescent="0.2">
      <c r="A1227" s="1056"/>
      <c r="B1227" s="532" t="s">
        <v>696</v>
      </c>
      <c r="C1227" s="533"/>
      <c r="D1227" s="534">
        <v>5000</v>
      </c>
      <c r="E1227" s="535"/>
      <c r="F1227" s="536"/>
    </row>
    <row r="1228" spans="1:6" x14ac:dyDescent="0.2">
      <c r="A1228" s="1055" t="s">
        <v>689</v>
      </c>
      <c r="B1228" s="532" t="s">
        <v>561</v>
      </c>
      <c r="C1228" s="533"/>
      <c r="D1228" s="534">
        <v>150000</v>
      </c>
      <c r="E1228" s="535"/>
      <c r="F1228" s="536" t="s">
        <v>123</v>
      </c>
    </row>
    <row r="1229" spans="1:6" x14ac:dyDescent="0.2">
      <c r="A1229" s="1056"/>
      <c r="B1229" s="532" t="s">
        <v>697</v>
      </c>
      <c r="C1229" s="533"/>
      <c r="D1229" s="534">
        <v>120000</v>
      </c>
      <c r="E1229" s="535"/>
      <c r="F1229" s="536" t="s">
        <v>698</v>
      </c>
    </row>
    <row r="1230" spans="1:6" x14ac:dyDescent="0.2">
      <c r="A1230" s="1055" t="s">
        <v>691</v>
      </c>
      <c r="B1230" s="532" t="s">
        <v>699</v>
      </c>
      <c r="C1230" s="533"/>
      <c r="D1230" s="534">
        <v>50000</v>
      </c>
      <c r="E1230" s="535"/>
      <c r="F1230" s="536" t="s">
        <v>113</v>
      </c>
    </row>
    <row r="1231" spans="1:6" x14ac:dyDescent="0.2">
      <c r="A1231" s="1056"/>
      <c r="B1231" s="532" t="s">
        <v>700</v>
      </c>
      <c r="C1231" s="533"/>
      <c r="D1231" s="534">
        <v>60000</v>
      </c>
      <c r="E1231" s="535"/>
      <c r="F1231" s="536" t="s">
        <v>701</v>
      </c>
    </row>
    <row r="1232" spans="1:6" x14ac:dyDescent="0.2">
      <c r="A1232" s="531" t="s">
        <v>702</v>
      </c>
      <c r="B1232" s="532" t="s">
        <v>703</v>
      </c>
      <c r="C1232" s="533"/>
      <c r="D1232" s="534">
        <v>50000</v>
      </c>
      <c r="E1232" s="535"/>
      <c r="F1232" s="536" t="s">
        <v>10</v>
      </c>
    </row>
    <row r="1233" spans="1:6" x14ac:dyDescent="0.2">
      <c r="A1233" s="537" t="s">
        <v>704</v>
      </c>
      <c r="B1233" s="532" t="s">
        <v>705</v>
      </c>
      <c r="C1233" s="533"/>
      <c r="D1233" s="534">
        <v>220000</v>
      </c>
      <c r="E1233" s="535"/>
      <c r="F1233" s="536" t="s">
        <v>113</v>
      </c>
    </row>
    <row r="1234" spans="1:6" x14ac:dyDescent="0.2">
      <c r="A1234" s="537" t="s">
        <v>751</v>
      </c>
      <c r="B1234" s="532" t="s">
        <v>775</v>
      </c>
      <c r="C1234" s="533"/>
      <c r="D1234" s="534">
        <v>520000</v>
      </c>
      <c r="E1234" s="535"/>
      <c r="F1234" s="536" t="s">
        <v>113</v>
      </c>
    </row>
    <row r="1235" spans="1:6" x14ac:dyDescent="0.2">
      <c r="A1235" s="538" t="s">
        <v>627</v>
      </c>
      <c r="B1235" s="539" t="s">
        <v>706</v>
      </c>
      <c r="C1235" s="540"/>
      <c r="D1235" s="541">
        <f>SUM(D1236:D1238)</f>
        <v>500000</v>
      </c>
      <c r="E1235" s="542"/>
      <c r="F1235" s="543"/>
    </row>
    <row r="1236" spans="1:6" x14ac:dyDescent="0.2">
      <c r="A1236" s="544" t="s">
        <v>628</v>
      </c>
      <c r="B1236" s="545" t="s">
        <v>707</v>
      </c>
      <c r="C1236" s="546"/>
      <c r="D1236" s="547">
        <v>200000</v>
      </c>
      <c r="E1236" s="548"/>
      <c r="F1236" s="549" t="s">
        <v>113</v>
      </c>
    </row>
    <row r="1237" spans="1:6" x14ac:dyDescent="0.2">
      <c r="A1237" s="544" t="s">
        <v>629</v>
      </c>
      <c r="B1237" s="545" t="s">
        <v>563</v>
      </c>
      <c r="C1237" s="546"/>
      <c r="D1237" s="547">
        <v>150000</v>
      </c>
      <c r="E1237" s="548"/>
      <c r="F1237" s="549" t="s">
        <v>708</v>
      </c>
    </row>
    <row r="1238" spans="1:6" x14ac:dyDescent="0.2">
      <c r="A1238" s="544" t="s">
        <v>630</v>
      </c>
      <c r="B1238" s="545" t="s">
        <v>564</v>
      </c>
      <c r="C1238" s="546"/>
      <c r="D1238" s="547">
        <v>150000</v>
      </c>
      <c r="E1238" s="548"/>
      <c r="F1238" s="549" t="s">
        <v>124</v>
      </c>
    </row>
    <row r="1239" spans="1:6" ht="43.5" x14ac:dyDescent="0.2">
      <c r="A1239" s="550" t="s">
        <v>655</v>
      </c>
      <c r="B1239" s="551" t="s">
        <v>354</v>
      </c>
      <c r="C1239" s="552">
        <v>0.5</v>
      </c>
      <c r="D1239" s="553">
        <f>D1213*C1239</f>
        <v>4135504.09</v>
      </c>
      <c r="E1239" s="554"/>
      <c r="F1239" s="555"/>
    </row>
    <row r="1240" spans="1:6" x14ac:dyDescent="0.2">
      <c r="A1240" s="556" t="s">
        <v>709</v>
      </c>
      <c r="B1240" s="557" t="s">
        <v>710</v>
      </c>
      <c r="C1240" s="558">
        <v>0.08</v>
      </c>
      <c r="D1240" s="559">
        <f>C1240*D1239</f>
        <v>330840.3272</v>
      </c>
      <c r="E1240" s="560"/>
      <c r="F1240" s="561"/>
    </row>
    <row r="1241" spans="1:6" ht="30" x14ac:dyDescent="0.2">
      <c r="A1241" s="556" t="s">
        <v>711</v>
      </c>
      <c r="B1241" s="557" t="s">
        <v>712</v>
      </c>
      <c r="C1241" s="558">
        <v>0.06</v>
      </c>
      <c r="D1241" s="559">
        <f>D1239*C1241</f>
        <v>248130.24539999999</v>
      </c>
      <c r="E1241" s="561"/>
      <c r="F1241" s="561"/>
    </row>
    <row r="1242" spans="1:6" x14ac:dyDescent="0.2">
      <c r="A1242" s="556" t="s">
        <v>713</v>
      </c>
      <c r="B1242" s="557" t="s">
        <v>714</v>
      </c>
      <c r="C1242" s="558"/>
      <c r="D1242" s="559">
        <v>50000</v>
      </c>
      <c r="E1242" s="560"/>
      <c r="F1242" s="561"/>
    </row>
    <row r="1243" spans="1:6" x14ac:dyDescent="0.2">
      <c r="A1243" s="556" t="s">
        <v>715</v>
      </c>
      <c r="B1243" s="557" t="s">
        <v>290</v>
      </c>
      <c r="C1243" s="558">
        <v>3.5000000000000003E-2</v>
      </c>
      <c r="D1243" s="559">
        <f>C1243*D1239</f>
        <v>144742.64315000002</v>
      </c>
      <c r="E1243" s="560"/>
      <c r="F1243" s="561" t="s">
        <v>124</v>
      </c>
    </row>
    <row r="1244" spans="1:6" x14ac:dyDescent="0.2">
      <c r="A1244" s="556" t="s">
        <v>716</v>
      </c>
      <c r="B1244" s="557" t="s">
        <v>360</v>
      </c>
      <c r="C1244" s="558">
        <v>5.5E-2</v>
      </c>
      <c r="D1244" s="559">
        <f>D1239*C1244</f>
        <v>227452.72495</v>
      </c>
      <c r="E1244" s="560"/>
      <c r="F1244" s="561" t="s">
        <v>717</v>
      </c>
    </row>
    <row r="1245" spans="1:6" x14ac:dyDescent="0.2">
      <c r="A1245" s="556" t="s">
        <v>718</v>
      </c>
      <c r="B1245" s="557" t="s">
        <v>361</v>
      </c>
      <c r="C1245" s="558">
        <v>0.06</v>
      </c>
      <c r="D1245" s="559">
        <f>C1245*D1239</f>
        <v>248130.24539999999</v>
      </c>
      <c r="E1245" s="560"/>
      <c r="F1245" s="561" t="s">
        <v>124</v>
      </c>
    </row>
    <row r="1246" spans="1:6" x14ac:dyDescent="0.2">
      <c r="A1246" s="556" t="s">
        <v>719</v>
      </c>
      <c r="B1246" s="557" t="s">
        <v>364</v>
      </c>
      <c r="C1246" s="558">
        <v>4.4999999999999998E-2</v>
      </c>
      <c r="D1246" s="559">
        <f>C1246*D1239</f>
        <v>186097.68404999998</v>
      </c>
      <c r="E1246" s="560"/>
      <c r="F1246" s="561"/>
    </row>
    <row r="1247" spans="1:6" x14ac:dyDescent="0.2">
      <c r="A1247" s="556" t="s">
        <v>720</v>
      </c>
      <c r="B1247" s="562" t="s">
        <v>366</v>
      </c>
      <c r="C1247" s="563">
        <v>0.06</v>
      </c>
      <c r="D1247" s="564">
        <f>D1239*C1247</f>
        <v>248130.24539999999</v>
      </c>
      <c r="E1247" s="565"/>
      <c r="F1247" s="561"/>
    </row>
    <row r="1248" spans="1:6" x14ac:dyDescent="0.2">
      <c r="A1248" s="556" t="s">
        <v>721</v>
      </c>
      <c r="B1248" s="562" t="s">
        <v>368</v>
      </c>
      <c r="C1248" s="563">
        <v>0.05</v>
      </c>
      <c r="D1248" s="564">
        <f>D1239*C1248</f>
        <v>206775.20449999999</v>
      </c>
      <c r="E1248" s="560"/>
      <c r="F1248" s="561"/>
    </row>
    <row r="1249" spans="1:6" x14ac:dyDescent="0.2">
      <c r="A1249" s="556" t="s">
        <v>722</v>
      </c>
      <c r="B1249" s="562" t="s">
        <v>723</v>
      </c>
      <c r="C1249" s="563">
        <v>0.04</v>
      </c>
      <c r="D1249" s="564">
        <f>C1249*D1239</f>
        <v>165420.1636</v>
      </c>
      <c r="E1249" s="560"/>
      <c r="F1249" s="561" t="s">
        <v>370</v>
      </c>
    </row>
    <row r="1250" spans="1:6" x14ac:dyDescent="0.2">
      <c r="A1250" s="556" t="s">
        <v>724</v>
      </c>
      <c r="B1250" s="562" t="s">
        <v>725</v>
      </c>
      <c r="C1250" s="563">
        <v>0.05</v>
      </c>
      <c r="D1250" s="564">
        <f>C1250*D1239</f>
        <v>206775.20449999999</v>
      </c>
      <c r="E1250" s="560"/>
      <c r="F1250" s="561"/>
    </row>
    <row r="1251" spans="1:6" x14ac:dyDescent="0.2">
      <c r="A1251" s="556" t="s">
        <v>726</v>
      </c>
      <c r="B1251" s="562" t="s">
        <v>299</v>
      </c>
      <c r="C1251" s="563">
        <v>0.03</v>
      </c>
      <c r="D1251" s="564">
        <f>C1251*D1239</f>
        <v>124065.12269999999</v>
      </c>
      <c r="E1251" s="560"/>
      <c r="F1251" s="561" t="s">
        <v>727</v>
      </c>
    </row>
    <row r="1252" spans="1:6" x14ac:dyDescent="0.2">
      <c r="A1252" s="556" t="s">
        <v>728</v>
      </c>
      <c r="B1252" s="562" t="s">
        <v>272</v>
      </c>
      <c r="C1252" s="563">
        <v>0.03</v>
      </c>
      <c r="D1252" s="564">
        <f>C1252*D1239</f>
        <v>124065.12269999999</v>
      </c>
      <c r="E1252" s="560"/>
      <c r="F1252" s="561"/>
    </row>
    <row r="1253" spans="1:6" x14ac:dyDescent="0.2">
      <c r="A1253" s="556" t="s">
        <v>729</v>
      </c>
      <c r="B1253" s="562" t="s">
        <v>273</v>
      </c>
      <c r="C1253" s="563">
        <v>1.4999999999999999E-2</v>
      </c>
      <c r="D1253" s="564">
        <f>C1253*D1239</f>
        <v>62032.561349999996</v>
      </c>
      <c r="E1253" s="565"/>
      <c r="F1253" s="561"/>
    </row>
    <row r="1254" spans="1:6" x14ac:dyDescent="0.2">
      <c r="A1254" s="556" t="s">
        <v>730</v>
      </c>
      <c r="B1254" s="562" t="s">
        <v>261</v>
      </c>
      <c r="C1254" s="563">
        <v>0.04</v>
      </c>
      <c r="D1254" s="564">
        <f>C1254*D1239</f>
        <v>165420.1636</v>
      </c>
      <c r="E1254" s="560"/>
      <c r="F1254" s="561" t="s">
        <v>373</v>
      </c>
    </row>
    <row r="1255" spans="1:6" x14ac:dyDescent="0.2">
      <c r="A1255" s="556" t="s">
        <v>731</v>
      </c>
      <c r="B1255" s="562" t="s">
        <v>776</v>
      </c>
      <c r="C1255" s="563">
        <v>0.03</v>
      </c>
      <c r="D1255" s="564">
        <f>C1255*D1239</f>
        <v>124065.12269999999</v>
      </c>
      <c r="E1255" s="560"/>
      <c r="F1255" s="561" t="s">
        <v>373</v>
      </c>
    </row>
    <row r="1256" spans="1:6" x14ac:dyDescent="0.2">
      <c r="A1256" s="556" t="s">
        <v>732</v>
      </c>
      <c r="B1256" s="562" t="s">
        <v>262</v>
      </c>
      <c r="C1256" s="563">
        <v>1.4999999999999999E-2</v>
      </c>
      <c r="D1256" s="564">
        <f>C1256*D1239</f>
        <v>62032.561349999996</v>
      </c>
      <c r="E1256" s="560"/>
      <c r="F1256" s="561"/>
    </row>
    <row r="1257" spans="1:6" x14ac:dyDescent="0.2">
      <c r="A1257" s="556" t="s">
        <v>734</v>
      </c>
      <c r="B1257" s="562" t="s">
        <v>341</v>
      </c>
      <c r="C1257" s="563">
        <v>7.0000000000000007E-2</v>
      </c>
      <c r="D1257" s="564">
        <f>C1257*D1239</f>
        <v>289485.28630000004</v>
      </c>
      <c r="E1257" s="565"/>
      <c r="F1257" s="561" t="s">
        <v>733</v>
      </c>
    </row>
    <row r="1258" spans="1:6" ht="30" x14ac:dyDescent="0.2">
      <c r="A1258" s="556" t="s">
        <v>777</v>
      </c>
      <c r="B1258" s="562" t="s">
        <v>100</v>
      </c>
      <c r="C1258" s="563">
        <v>0.05</v>
      </c>
      <c r="D1258" s="564">
        <f>C1258*D1239</f>
        <v>206775.20449999999</v>
      </c>
      <c r="E1258" s="566"/>
      <c r="F1258" s="560"/>
    </row>
    <row r="1259" spans="1:6" x14ac:dyDescent="0.2">
      <c r="A1259" s="550"/>
      <c r="B1259" s="567" t="s">
        <v>735</v>
      </c>
      <c r="C1259" s="568">
        <f>SUM(C1240:C1258)</f>
        <v>0.81500000000000017</v>
      </c>
      <c r="D1259" s="569">
        <f>SUM(D1240:D1258)</f>
        <v>3420435.8333500009</v>
      </c>
      <c r="E1259" s="570"/>
      <c r="F1259" s="554"/>
    </row>
    <row r="1260" spans="1:6" x14ac:dyDescent="0.2">
      <c r="A1260" s="550"/>
      <c r="B1260" s="567" t="s">
        <v>132</v>
      </c>
      <c r="C1260" s="568">
        <v>0.05</v>
      </c>
      <c r="D1260" s="569">
        <f>C1260*D1239</f>
        <v>206775.20449999999</v>
      </c>
      <c r="E1260" s="570"/>
      <c r="F1260" s="554"/>
    </row>
    <row r="1261" spans="1:6" ht="28.5" x14ac:dyDescent="0.2">
      <c r="A1261" s="550"/>
      <c r="B1261" s="567" t="s">
        <v>308</v>
      </c>
      <c r="C1261" s="568">
        <f>D1261/D1213</f>
        <v>0.1318548262698005</v>
      </c>
      <c r="D1261" s="569">
        <f>D1213-D1214-D1217-D1225-D1221-D1235-D1259</f>
        <v>1090572.3466499988</v>
      </c>
      <c r="E1261" s="570"/>
      <c r="F1261" s="554"/>
    </row>
    <row r="1262" spans="1:6" ht="28.5" x14ac:dyDescent="0.2">
      <c r="A1262" s="571"/>
      <c r="B1262" s="572" t="s">
        <v>375</v>
      </c>
      <c r="C1262" s="573">
        <f>D1262/D1213</f>
        <v>0.15685482626980049</v>
      </c>
      <c r="D1262" s="574">
        <f>D1261+D1260</f>
        <v>1297347.5511499988</v>
      </c>
      <c r="E1262" s="575"/>
      <c r="F1262" s="575"/>
    </row>
    <row r="1263" spans="1:6" ht="69.75" customHeight="1" x14ac:dyDescent="0.2">
      <c r="A1263" s="804" t="s">
        <v>778</v>
      </c>
      <c r="B1263" s="805"/>
      <c r="C1263" s="805"/>
      <c r="D1263" s="805"/>
      <c r="E1263" s="805"/>
      <c r="F1263" s="806"/>
    </row>
    <row r="1264" spans="1:6" x14ac:dyDescent="0.2">
      <c r="A1264" s="173">
        <v>1</v>
      </c>
      <c r="B1264" s="254" t="s">
        <v>352</v>
      </c>
      <c r="C1264" s="175"/>
      <c r="D1264" s="798">
        <v>11236422.640000001</v>
      </c>
      <c r="E1264" s="799"/>
      <c r="F1264" s="800"/>
    </row>
    <row r="1265" spans="1:6" x14ac:dyDescent="0.2">
      <c r="A1265" s="493">
        <v>2</v>
      </c>
      <c r="B1265" s="494" t="s">
        <v>499</v>
      </c>
      <c r="C1265" s="495"/>
      <c r="D1265" s="496">
        <f>SUM(D1266:D1267)</f>
        <v>900000</v>
      </c>
      <c r="E1265" s="496"/>
      <c r="F1265" s="496"/>
    </row>
    <row r="1266" spans="1:6" x14ac:dyDescent="0.2">
      <c r="A1266" s="497" t="s">
        <v>613</v>
      </c>
      <c r="B1266" s="498" t="s">
        <v>675</v>
      </c>
      <c r="C1266" s="499"/>
      <c r="D1266" s="500">
        <v>450000</v>
      </c>
      <c r="E1266" s="501"/>
      <c r="F1266" s="419" t="s">
        <v>676</v>
      </c>
    </row>
    <row r="1267" spans="1:6" x14ac:dyDescent="0.2">
      <c r="A1267" s="497" t="s">
        <v>615</v>
      </c>
      <c r="B1267" s="498" t="s">
        <v>552</v>
      </c>
      <c r="C1267" s="499"/>
      <c r="D1267" s="500">
        <v>450000</v>
      </c>
      <c r="E1267" s="501"/>
      <c r="F1267" s="419"/>
    </row>
    <row r="1268" spans="1:6" x14ac:dyDescent="0.2">
      <c r="A1268" s="502" t="s">
        <v>623</v>
      </c>
      <c r="B1268" s="503" t="s">
        <v>677</v>
      </c>
      <c r="C1268" s="504"/>
      <c r="D1268" s="505">
        <f>SUM(D1269:D1271)</f>
        <v>1050000</v>
      </c>
      <c r="E1268" s="506"/>
      <c r="F1268" s="507"/>
    </row>
    <row r="1269" spans="1:6" ht="31.5" x14ac:dyDescent="0.2">
      <c r="A1269" s="508" t="s">
        <v>678</v>
      </c>
      <c r="B1269" s="509" t="s">
        <v>353</v>
      </c>
      <c r="C1269" s="510"/>
      <c r="D1269" s="511">
        <v>500000</v>
      </c>
      <c r="E1269" s="512"/>
      <c r="F1269" s="513" t="s">
        <v>679</v>
      </c>
    </row>
    <row r="1270" spans="1:6" x14ac:dyDescent="0.2">
      <c r="A1270" s="508" t="s">
        <v>680</v>
      </c>
      <c r="B1270" s="509" t="s">
        <v>681</v>
      </c>
      <c r="C1270" s="510"/>
      <c r="D1270" s="511">
        <v>150000</v>
      </c>
      <c r="E1270" s="512"/>
      <c r="F1270" s="513"/>
    </row>
    <row r="1271" spans="1:6" ht="30" customHeight="1" x14ac:dyDescent="0.2">
      <c r="A1271" s="508" t="s">
        <v>682</v>
      </c>
      <c r="B1271" s="509" t="s">
        <v>683</v>
      </c>
      <c r="C1271" s="510"/>
      <c r="D1271" s="511">
        <v>400000</v>
      </c>
      <c r="E1271" s="512"/>
      <c r="F1271" s="513"/>
    </row>
    <row r="1272" spans="1:6" x14ac:dyDescent="0.2">
      <c r="A1272" s="514" t="s">
        <v>625</v>
      </c>
      <c r="B1272" s="515" t="s">
        <v>686</v>
      </c>
      <c r="C1272" s="516"/>
      <c r="D1272" s="517">
        <f>SUM(D1273:D1275)</f>
        <v>225000</v>
      </c>
      <c r="E1272" s="518"/>
      <c r="F1272" s="519"/>
    </row>
    <row r="1273" spans="1:6" x14ac:dyDescent="0.2">
      <c r="A1273" s="520" t="s">
        <v>687</v>
      </c>
      <c r="B1273" s="521" t="s">
        <v>688</v>
      </c>
      <c r="C1273" s="522"/>
      <c r="D1273" s="523">
        <v>75000</v>
      </c>
      <c r="E1273" s="524"/>
      <c r="F1273" s="1057" t="s">
        <v>113</v>
      </c>
    </row>
    <row r="1274" spans="1:6" x14ac:dyDescent="0.2">
      <c r="A1274" s="520" t="s">
        <v>689</v>
      </c>
      <c r="B1274" s="521" t="s">
        <v>690</v>
      </c>
      <c r="C1274" s="522"/>
      <c r="D1274" s="523">
        <v>75000</v>
      </c>
      <c r="E1274" s="524"/>
      <c r="F1274" s="1058"/>
    </row>
    <row r="1275" spans="1:6" x14ac:dyDescent="0.2">
      <c r="A1275" s="520" t="s">
        <v>691</v>
      </c>
      <c r="B1275" s="521" t="s">
        <v>692</v>
      </c>
      <c r="C1275" s="522"/>
      <c r="D1275" s="523">
        <v>75000</v>
      </c>
      <c r="E1275" s="524"/>
      <c r="F1275" s="1059"/>
    </row>
    <row r="1276" spans="1:6" x14ac:dyDescent="0.2">
      <c r="A1276" s="525">
        <v>4</v>
      </c>
      <c r="B1276" s="526" t="s">
        <v>693</v>
      </c>
      <c r="C1276" s="527"/>
      <c r="D1276" s="528">
        <f>SUM(D1277:D1285)</f>
        <v>1625000</v>
      </c>
      <c r="E1276" s="529"/>
      <c r="F1276" s="530"/>
    </row>
    <row r="1277" spans="1:6" x14ac:dyDescent="0.2">
      <c r="A1277" s="1055" t="s">
        <v>687</v>
      </c>
      <c r="B1277" s="532" t="s">
        <v>694</v>
      </c>
      <c r="C1277" s="533"/>
      <c r="D1277" s="534">
        <v>220000</v>
      </c>
      <c r="E1277" s="535"/>
      <c r="F1277" s="536"/>
    </row>
    <row r="1278" spans="1:6" x14ac:dyDescent="0.2">
      <c r="A1278" s="1056"/>
      <c r="B1278" s="532" t="s">
        <v>696</v>
      </c>
      <c r="C1278" s="533"/>
      <c r="D1278" s="534">
        <v>5000</v>
      </c>
      <c r="E1278" s="535"/>
      <c r="F1278" s="536"/>
    </row>
    <row r="1279" spans="1:6" x14ac:dyDescent="0.2">
      <c r="A1279" s="1055" t="s">
        <v>689</v>
      </c>
      <c r="B1279" s="532" t="s">
        <v>561</v>
      </c>
      <c r="C1279" s="533"/>
      <c r="D1279" s="534">
        <v>200000</v>
      </c>
      <c r="E1279" s="535"/>
      <c r="F1279" s="536" t="s">
        <v>123</v>
      </c>
    </row>
    <row r="1280" spans="1:6" x14ac:dyDescent="0.2">
      <c r="A1280" s="1056"/>
      <c r="B1280" s="532" t="s">
        <v>697</v>
      </c>
      <c r="C1280" s="533"/>
      <c r="D1280" s="534">
        <v>150000</v>
      </c>
      <c r="E1280" s="535"/>
      <c r="F1280" s="536" t="s">
        <v>698</v>
      </c>
    </row>
    <row r="1281" spans="1:6" x14ac:dyDescent="0.2">
      <c r="A1281" s="1055" t="s">
        <v>691</v>
      </c>
      <c r="B1281" s="532" t="s">
        <v>699</v>
      </c>
      <c r="C1281" s="533"/>
      <c r="D1281" s="534">
        <v>50000</v>
      </c>
      <c r="E1281" s="535"/>
      <c r="F1281" s="536" t="s">
        <v>113</v>
      </c>
    </row>
    <row r="1282" spans="1:6" x14ac:dyDescent="0.2">
      <c r="A1282" s="1056"/>
      <c r="B1282" s="532" t="s">
        <v>700</v>
      </c>
      <c r="C1282" s="533"/>
      <c r="D1282" s="534">
        <v>80000</v>
      </c>
      <c r="E1282" s="535"/>
      <c r="F1282" s="536" t="s">
        <v>701</v>
      </c>
    </row>
    <row r="1283" spans="1:6" x14ac:dyDescent="0.2">
      <c r="A1283" s="531" t="s">
        <v>702</v>
      </c>
      <c r="B1283" s="532" t="s">
        <v>703</v>
      </c>
      <c r="C1283" s="533"/>
      <c r="D1283" s="534">
        <v>50000</v>
      </c>
      <c r="E1283" s="535"/>
      <c r="F1283" s="536" t="s">
        <v>10</v>
      </c>
    </row>
    <row r="1284" spans="1:6" x14ac:dyDescent="0.2">
      <c r="A1284" s="537" t="s">
        <v>704</v>
      </c>
      <c r="B1284" s="532" t="s">
        <v>705</v>
      </c>
      <c r="C1284" s="533"/>
      <c r="D1284" s="534">
        <v>220000</v>
      </c>
      <c r="E1284" s="535"/>
      <c r="F1284" s="536" t="s">
        <v>113</v>
      </c>
    </row>
    <row r="1285" spans="1:6" x14ac:dyDescent="0.2">
      <c r="A1285" s="537" t="s">
        <v>751</v>
      </c>
      <c r="B1285" s="532" t="s">
        <v>775</v>
      </c>
      <c r="C1285" s="533"/>
      <c r="D1285" s="534">
        <v>650000</v>
      </c>
      <c r="E1285" s="535"/>
      <c r="F1285" s="536" t="s">
        <v>113</v>
      </c>
    </row>
    <row r="1286" spans="1:6" x14ac:dyDescent="0.2">
      <c r="A1286" s="538" t="s">
        <v>627</v>
      </c>
      <c r="B1286" s="539" t="s">
        <v>706</v>
      </c>
      <c r="C1286" s="540"/>
      <c r="D1286" s="541">
        <f>SUM(D1287:D1289)</f>
        <v>700000</v>
      </c>
      <c r="E1286" s="542"/>
      <c r="F1286" s="543"/>
    </row>
    <row r="1287" spans="1:6" x14ac:dyDescent="0.2">
      <c r="A1287" s="544" t="s">
        <v>628</v>
      </c>
      <c r="B1287" s="545" t="s">
        <v>707</v>
      </c>
      <c r="C1287" s="546"/>
      <c r="D1287" s="547">
        <v>300000</v>
      </c>
      <c r="E1287" s="548"/>
      <c r="F1287" s="549" t="s">
        <v>113</v>
      </c>
    </row>
    <row r="1288" spans="1:6" x14ac:dyDescent="0.2">
      <c r="A1288" s="544" t="s">
        <v>629</v>
      </c>
      <c r="B1288" s="545" t="s">
        <v>563</v>
      </c>
      <c r="C1288" s="546"/>
      <c r="D1288" s="547">
        <v>200000</v>
      </c>
      <c r="E1288" s="548"/>
      <c r="F1288" s="549" t="s">
        <v>708</v>
      </c>
    </row>
    <row r="1289" spans="1:6" x14ac:dyDescent="0.2">
      <c r="A1289" s="544" t="s">
        <v>630</v>
      </c>
      <c r="B1289" s="545" t="s">
        <v>564</v>
      </c>
      <c r="C1289" s="546"/>
      <c r="D1289" s="547">
        <v>200000</v>
      </c>
      <c r="E1289" s="548"/>
      <c r="F1289" s="549" t="s">
        <v>124</v>
      </c>
    </row>
    <row r="1290" spans="1:6" ht="43.5" x14ac:dyDescent="0.2">
      <c r="A1290" s="550" t="s">
        <v>655</v>
      </c>
      <c r="B1290" s="551" t="s">
        <v>354</v>
      </c>
      <c r="C1290" s="552">
        <v>0.5</v>
      </c>
      <c r="D1290" s="553">
        <f>D1264*C1290</f>
        <v>5618211.3200000003</v>
      </c>
      <c r="E1290" s="554"/>
      <c r="F1290" s="555"/>
    </row>
    <row r="1291" spans="1:6" x14ac:dyDescent="0.2">
      <c r="A1291" s="556" t="s">
        <v>709</v>
      </c>
      <c r="B1291" s="557" t="s">
        <v>710</v>
      </c>
      <c r="C1291" s="558">
        <v>0.08</v>
      </c>
      <c r="D1291" s="559">
        <f>C1291*D1290</f>
        <v>449456.90560000006</v>
      </c>
      <c r="E1291" s="560"/>
      <c r="F1291" s="561"/>
    </row>
    <row r="1292" spans="1:6" ht="30" x14ac:dyDescent="0.2">
      <c r="A1292" s="556" t="s">
        <v>711</v>
      </c>
      <c r="B1292" s="557" t="s">
        <v>712</v>
      </c>
      <c r="C1292" s="558">
        <v>0.06</v>
      </c>
      <c r="D1292" s="559">
        <f>D1290*C1292</f>
        <v>337092.67920000001</v>
      </c>
      <c r="E1292" s="561"/>
      <c r="F1292" s="561"/>
    </row>
    <row r="1293" spans="1:6" x14ac:dyDescent="0.2">
      <c r="A1293" s="556" t="s">
        <v>713</v>
      </c>
      <c r="B1293" s="557" t="s">
        <v>714</v>
      </c>
      <c r="C1293" s="558"/>
      <c r="D1293" s="559">
        <v>50000</v>
      </c>
      <c r="E1293" s="560"/>
      <c r="F1293" s="561"/>
    </row>
    <row r="1294" spans="1:6" x14ac:dyDescent="0.2">
      <c r="A1294" s="556" t="s">
        <v>715</v>
      </c>
      <c r="B1294" s="557" t="s">
        <v>290</v>
      </c>
      <c r="C1294" s="558">
        <v>3.5000000000000003E-2</v>
      </c>
      <c r="D1294" s="559">
        <f>C1294*D1290</f>
        <v>196637.39620000002</v>
      </c>
      <c r="E1294" s="560"/>
      <c r="F1294" s="561" t="s">
        <v>124</v>
      </c>
    </row>
    <row r="1295" spans="1:6" x14ac:dyDescent="0.2">
      <c r="A1295" s="556" t="s">
        <v>716</v>
      </c>
      <c r="B1295" s="557" t="s">
        <v>360</v>
      </c>
      <c r="C1295" s="558">
        <v>5.5E-2</v>
      </c>
      <c r="D1295" s="559">
        <f>D1290*C1295</f>
        <v>309001.6226</v>
      </c>
      <c r="E1295" s="560"/>
      <c r="F1295" s="561" t="s">
        <v>717</v>
      </c>
    </row>
    <row r="1296" spans="1:6" x14ac:dyDescent="0.2">
      <c r="A1296" s="556" t="s">
        <v>718</v>
      </c>
      <c r="B1296" s="557" t="s">
        <v>361</v>
      </c>
      <c r="C1296" s="558">
        <v>0.06</v>
      </c>
      <c r="D1296" s="559">
        <f>C1296*D1290</f>
        <v>337092.67920000001</v>
      </c>
      <c r="E1296" s="560"/>
      <c r="F1296" s="561" t="s">
        <v>124</v>
      </c>
    </row>
    <row r="1297" spans="1:6" x14ac:dyDescent="0.2">
      <c r="A1297" s="556" t="s">
        <v>719</v>
      </c>
      <c r="B1297" s="557" t="s">
        <v>364</v>
      </c>
      <c r="C1297" s="558">
        <v>0.04</v>
      </c>
      <c r="D1297" s="559">
        <f>C1297*D1290</f>
        <v>224728.45280000003</v>
      </c>
      <c r="E1297" s="560"/>
      <c r="F1297" s="561"/>
    </row>
    <row r="1298" spans="1:6" x14ac:dyDescent="0.2">
      <c r="A1298" s="556" t="s">
        <v>720</v>
      </c>
      <c r="B1298" s="562" t="s">
        <v>366</v>
      </c>
      <c r="C1298" s="563">
        <v>4.4999999999999998E-2</v>
      </c>
      <c r="D1298" s="564">
        <f>D1290*C1298</f>
        <v>252819.50940000001</v>
      </c>
      <c r="E1298" s="565"/>
      <c r="F1298" s="561"/>
    </row>
    <row r="1299" spans="1:6" x14ac:dyDescent="0.2">
      <c r="A1299" s="556" t="s">
        <v>721</v>
      </c>
      <c r="B1299" s="562" t="s">
        <v>368</v>
      </c>
      <c r="C1299" s="563">
        <v>4.4999999999999998E-2</v>
      </c>
      <c r="D1299" s="564">
        <f>D1290*C1299</f>
        <v>252819.50940000001</v>
      </c>
      <c r="E1299" s="560"/>
      <c r="F1299" s="561"/>
    </row>
    <row r="1300" spans="1:6" x14ac:dyDescent="0.2">
      <c r="A1300" s="556" t="s">
        <v>722</v>
      </c>
      <c r="B1300" s="562" t="s">
        <v>723</v>
      </c>
      <c r="C1300" s="563">
        <v>0.04</v>
      </c>
      <c r="D1300" s="564">
        <f>C1300*D1290</f>
        <v>224728.45280000003</v>
      </c>
      <c r="E1300" s="560"/>
      <c r="F1300" s="561" t="s">
        <v>370</v>
      </c>
    </row>
    <row r="1301" spans="1:6" x14ac:dyDescent="0.2">
      <c r="A1301" s="556" t="s">
        <v>724</v>
      </c>
      <c r="B1301" s="562" t="s">
        <v>725</v>
      </c>
      <c r="C1301" s="563">
        <v>0.05</v>
      </c>
      <c r="D1301" s="564">
        <f>C1301*D1290</f>
        <v>280910.56600000005</v>
      </c>
      <c r="E1301" s="560"/>
      <c r="F1301" s="561"/>
    </row>
    <row r="1302" spans="1:6" x14ac:dyDescent="0.2">
      <c r="A1302" s="556" t="s">
        <v>726</v>
      </c>
      <c r="B1302" s="562" t="s">
        <v>299</v>
      </c>
      <c r="C1302" s="563">
        <v>0.03</v>
      </c>
      <c r="D1302" s="564">
        <f>C1302*D1290</f>
        <v>168546.33960000001</v>
      </c>
      <c r="E1302" s="560"/>
      <c r="F1302" s="561" t="s">
        <v>727</v>
      </c>
    </row>
    <row r="1303" spans="1:6" x14ac:dyDescent="0.2">
      <c r="A1303" s="556" t="s">
        <v>728</v>
      </c>
      <c r="B1303" s="562" t="s">
        <v>272</v>
      </c>
      <c r="C1303" s="563">
        <v>0.03</v>
      </c>
      <c r="D1303" s="564">
        <f>C1303*D1290</f>
        <v>168546.33960000001</v>
      </c>
      <c r="E1303" s="560"/>
      <c r="F1303" s="561"/>
    </row>
    <row r="1304" spans="1:6" x14ac:dyDescent="0.2">
      <c r="A1304" s="556" t="s">
        <v>729</v>
      </c>
      <c r="B1304" s="562" t="s">
        <v>273</v>
      </c>
      <c r="C1304" s="563">
        <v>1.4999999999999999E-2</v>
      </c>
      <c r="D1304" s="564">
        <f>C1304*D1290</f>
        <v>84273.169800000003</v>
      </c>
      <c r="E1304" s="565"/>
      <c r="F1304" s="561"/>
    </row>
    <row r="1305" spans="1:6" x14ac:dyDescent="0.2">
      <c r="A1305" s="556" t="s">
        <v>730</v>
      </c>
      <c r="B1305" s="562" t="s">
        <v>261</v>
      </c>
      <c r="C1305" s="563">
        <v>0.04</v>
      </c>
      <c r="D1305" s="564">
        <f>C1305*D1290</f>
        <v>224728.45280000003</v>
      </c>
      <c r="E1305" s="560"/>
      <c r="F1305" s="561" t="s">
        <v>373</v>
      </c>
    </row>
    <row r="1306" spans="1:6" x14ac:dyDescent="0.2">
      <c r="A1306" s="556" t="s">
        <v>730</v>
      </c>
      <c r="B1306" s="562" t="s">
        <v>776</v>
      </c>
      <c r="C1306" s="563">
        <v>0.02</v>
      </c>
      <c r="D1306" s="564">
        <f>C1306*D1290</f>
        <v>112364.22640000001</v>
      </c>
      <c r="E1306" s="560"/>
      <c r="F1306" s="561"/>
    </row>
    <row r="1307" spans="1:6" x14ac:dyDescent="0.2">
      <c r="A1307" s="556" t="s">
        <v>731</v>
      </c>
      <c r="B1307" s="562" t="s">
        <v>262</v>
      </c>
      <c r="C1307" s="563">
        <v>1.4999999999999999E-2</v>
      </c>
      <c r="D1307" s="564">
        <f>C1307*D1290</f>
        <v>84273.169800000003</v>
      </c>
      <c r="E1307" s="560"/>
      <c r="F1307" s="561"/>
    </row>
    <row r="1308" spans="1:6" x14ac:dyDescent="0.2">
      <c r="A1308" s="556" t="s">
        <v>732</v>
      </c>
      <c r="B1308" s="562" t="s">
        <v>341</v>
      </c>
      <c r="C1308" s="563">
        <v>0.06</v>
      </c>
      <c r="D1308" s="564">
        <f>C1308*D1290</f>
        <v>337092.67920000001</v>
      </c>
      <c r="E1308" s="565"/>
      <c r="F1308" s="561" t="s">
        <v>733</v>
      </c>
    </row>
    <row r="1309" spans="1:6" ht="30" x14ac:dyDescent="0.2">
      <c r="A1309" s="556" t="s">
        <v>734</v>
      </c>
      <c r="B1309" s="562" t="s">
        <v>100</v>
      </c>
      <c r="C1309" s="563">
        <v>0.05</v>
      </c>
      <c r="D1309" s="564">
        <f>C1309*D1290</f>
        <v>280910.56600000005</v>
      </c>
      <c r="E1309" s="566"/>
      <c r="F1309" s="560"/>
    </row>
    <row r="1310" spans="1:6" x14ac:dyDescent="0.2">
      <c r="A1310" s="550"/>
      <c r="B1310" s="567" t="s">
        <v>735</v>
      </c>
      <c r="C1310" s="568">
        <f>SUM(C1291:C1309)</f>
        <v>0.77000000000000024</v>
      </c>
      <c r="D1310" s="569">
        <f>SUM(D1291:D1309)</f>
        <v>4376022.7164000003</v>
      </c>
      <c r="E1310" s="570"/>
      <c r="F1310" s="554"/>
    </row>
    <row r="1311" spans="1:6" x14ac:dyDescent="0.2">
      <c r="A1311" s="550"/>
      <c r="B1311" s="567" t="s">
        <v>132</v>
      </c>
      <c r="C1311" s="568">
        <v>0.05</v>
      </c>
      <c r="D1311" s="569">
        <f>C1311*D1290</f>
        <v>280910.56600000005</v>
      </c>
      <c r="E1311" s="570"/>
      <c r="F1311" s="554"/>
    </row>
    <row r="1312" spans="1:6" ht="28.5" x14ac:dyDescent="0.2">
      <c r="A1312" s="550"/>
      <c r="B1312" s="567" t="s">
        <v>308</v>
      </c>
      <c r="C1312" s="568">
        <f>D1312/D1264</f>
        <v>0.21006685127678681</v>
      </c>
      <c r="D1312" s="569">
        <f>D1264-D1265-D1268-D1276-D1272-D1286-D1310</f>
        <v>2360399.9236000003</v>
      </c>
      <c r="E1312" s="570"/>
      <c r="F1312" s="554"/>
    </row>
    <row r="1313" spans="1:6" ht="28.5" x14ac:dyDescent="0.2">
      <c r="A1313" s="571"/>
      <c r="B1313" s="572" t="s">
        <v>375</v>
      </c>
      <c r="C1313" s="573">
        <f>D1313/D1264</f>
        <v>0.23506685127678681</v>
      </c>
      <c r="D1313" s="574">
        <f>D1312+D1311</f>
        <v>2641310.4896000004</v>
      </c>
      <c r="E1313" s="575"/>
      <c r="F1313" s="575"/>
    </row>
    <row r="1314" spans="1:6" ht="75" customHeight="1" x14ac:dyDescent="0.2">
      <c r="A1314" s="804" t="s">
        <v>779</v>
      </c>
      <c r="B1314" s="805"/>
      <c r="C1314" s="805"/>
      <c r="D1314" s="805"/>
      <c r="E1314" s="805"/>
      <c r="F1314" s="806"/>
    </row>
    <row r="1315" spans="1:6" x14ac:dyDescent="0.2">
      <c r="A1315" s="173">
        <v>1</v>
      </c>
      <c r="B1315" s="254" t="s">
        <v>352</v>
      </c>
      <c r="C1315" s="175"/>
      <c r="D1315" s="798">
        <v>6979154.5700000003</v>
      </c>
      <c r="E1315" s="799"/>
      <c r="F1315" s="800"/>
    </row>
    <row r="1316" spans="1:6" x14ac:dyDescent="0.2">
      <c r="A1316" s="493">
        <v>2</v>
      </c>
      <c r="B1316" s="494" t="s">
        <v>499</v>
      </c>
      <c r="C1316" s="495"/>
      <c r="D1316" s="496">
        <f>SUM(D1317:D1318)</f>
        <v>800000</v>
      </c>
      <c r="E1316" s="496"/>
      <c r="F1316" s="496"/>
    </row>
    <row r="1317" spans="1:6" x14ac:dyDescent="0.2">
      <c r="A1317" s="497" t="s">
        <v>613</v>
      </c>
      <c r="B1317" s="498" t="s">
        <v>675</v>
      </c>
      <c r="C1317" s="499"/>
      <c r="D1317" s="500">
        <v>350000</v>
      </c>
      <c r="E1317" s="501"/>
      <c r="F1317" s="419" t="s">
        <v>676</v>
      </c>
    </row>
    <row r="1318" spans="1:6" x14ac:dyDescent="0.2">
      <c r="A1318" s="497" t="s">
        <v>615</v>
      </c>
      <c r="B1318" s="498" t="s">
        <v>552</v>
      </c>
      <c r="C1318" s="499"/>
      <c r="D1318" s="500">
        <v>450000</v>
      </c>
      <c r="E1318" s="501"/>
      <c r="F1318" s="419"/>
    </row>
    <row r="1319" spans="1:6" x14ac:dyDescent="0.2">
      <c r="A1319" s="502" t="s">
        <v>623</v>
      </c>
      <c r="B1319" s="503" t="s">
        <v>677</v>
      </c>
      <c r="C1319" s="504"/>
      <c r="D1319" s="505">
        <f>SUM(D1320:D1322)</f>
        <v>800000</v>
      </c>
      <c r="E1319" s="506"/>
      <c r="F1319" s="507"/>
    </row>
    <row r="1320" spans="1:6" ht="47.25" x14ac:dyDescent="0.2">
      <c r="A1320" s="508" t="s">
        <v>678</v>
      </c>
      <c r="B1320" s="509" t="s">
        <v>353</v>
      </c>
      <c r="C1320" s="510"/>
      <c r="D1320" s="511">
        <v>250000</v>
      </c>
      <c r="E1320" s="512"/>
      <c r="F1320" s="513" t="s">
        <v>780</v>
      </c>
    </row>
    <row r="1321" spans="1:6" x14ac:dyDescent="0.2">
      <c r="A1321" s="508" t="s">
        <v>680</v>
      </c>
      <c r="B1321" s="509" t="s">
        <v>681</v>
      </c>
      <c r="C1321" s="510"/>
      <c r="D1321" s="511">
        <v>150000</v>
      </c>
      <c r="E1321" s="512"/>
      <c r="F1321" s="513"/>
    </row>
    <row r="1322" spans="1:6" x14ac:dyDescent="0.2">
      <c r="A1322" s="508" t="s">
        <v>682</v>
      </c>
      <c r="B1322" s="509" t="s">
        <v>683</v>
      </c>
      <c r="C1322" s="510"/>
      <c r="D1322" s="511">
        <v>400000</v>
      </c>
      <c r="E1322" s="512"/>
      <c r="F1322" s="513"/>
    </row>
    <row r="1323" spans="1:6" x14ac:dyDescent="0.2">
      <c r="A1323" s="514" t="s">
        <v>625</v>
      </c>
      <c r="B1323" s="515" t="s">
        <v>686</v>
      </c>
      <c r="C1323" s="516"/>
      <c r="D1323" s="517">
        <f>SUM(D1324:D1326)</f>
        <v>150000</v>
      </c>
      <c r="E1323" s="518"/>
      <c r="F1323" s="519"/>
    </row>
    <row r="1324" spans="1:6" x14ac:dyDescent="0.2">
      <c r="A1324" s="520" t="s">
        <v>687</v>
      </c>
      <c r="B1324" s="521" t="s">
        <v>688</v>
      </c>
      <c r="C1324" s="522"/>
      <c r="D1324" s="523">
        <v>50000</v>
      </c>
      <c r="E1324" s="524"/>
      <c r="F1324" s="1057" t="s">
        <v>113</v>
      </c>
    </row>
    <row r="1325" spans="1:6" x14ac:dyDescent="0.2">
      <c r="A1325" s="520" t="s">
        <v>689</v>
      </c>
      <c r="B1325" s="521" t="s">
        <v>690</v>
      </c>
      <c r="C1325" s="522"/>
      <c r="D1325" s="523">
        <v>50000</v>
      </c>
      <c r="E1325" s="524"/>
      <c r="F1325" s="1058"/>
    </row>
    <row r="1326" spans="1:6" x14ac:dyDescent="0.2">
      <c r="A1326" s="520" t="s">
        <v>691</v>
      </c>
      <c r="B1326" s="521" t="s">
        <v>692</v>
      </c>
      <c r="C1326" s="522"/>
      <c r="D1326" s="523">
        <v>50000</v>
      </c>
      <c r="E1326" s="524"/>
      <c r="F1326" s="1059"/>
    </row>
    <row r="1327" spans="1:6" x14ac:dyDescent="0.2">
      <c r="A1327" s="525">
        <v>4</v>
      </c>
      <c r="B1327" s="526" t="s">
        <v>693</v>
      </c>
      <c r="C1327" s="527"/>
      <c r="D1327" s="528">
        <f>SUM(D1328:D1336)</f>
        <v>1325000</v>
      </c>
      <c r="E1327" s="529"/>
      <c r="F1327" s="530"/>
    </row>
    <row r="1328" spans="1:6" x14ac:dyDescent="0.2">
      <c r="A1328" s="1055" t="s">
        <v>687</v>
      </c>
      <c r="B1328" s="532" t="s">
        <v>694</v>
      </c>
      <c r="C1328" s="533"/>
      <c r="D1328" s="534">
        <v>220000</v>
      </c>
      <c r="E1328" s="535"/>
      <c r="F1328" s="536" t="s">
        <v>695</v>
      </c>
    </row>
    <row r="1329" spans="1:6" x14ac:dyDescent="0.2">
      <c r="A1329" s="1056"/>
      <c r="B1329" s="532" t="s">
        <v>696</v>
      </c>
      <c r="C1329" s="533"/>
      <c r="D1329" s="534">
        <v>5000</v>
      </c>
      <c r="E1329" s="535"/>
      <c r="F1329" s="536"/>
    </row>
    <row r="1330" spans="1:6" x14ac:dyDescent="0.2">
      <c r="A1330" s="1055" t="s">
        <v>689</v>
      </c>
      <c r="B1330" s="532" t="s">
        <v>561</v>
      </c>
      <c r="C1330" s="533"/>
      <c r="D1330" s="534">
        <v>150000</v>
      </c>
      <c r="E1330" s="535"/>
      <c r="F1330" s="536" t="s">
        <v>123</v>
      </c>
    </row>
    <row r="1331" spans="1:6" x14ac:dyDescent="0.2">
      <c r="A1331" s="1056"/>
      <c r="B1331" s="532" t="s">
        <v>697</v>
      </c>
      <c r="C1331" s="533"/>
      <c r="D1331" s="534">
        <v>120000</v>
      </c>
      <c r="E1331" s="535"/>
      <c r="F1331" s="536" t="s">
        <v>698</v>
      </c>
    </row>
    <row r="1332" spans="1:6" x14ac:dyDescent="0.2">
      <c r="A1332" s="1055" t="s">
        <v>691</v>
      </c>
      <c r="B1332" s="532" t="s">
        <v>699</v>
      </c>
      <c r="C1332" s="533"/>
      <c r="D1332" s="534">
        <v>50000</v>
      </c>
      <c r="E1332" s="535"/>
      <c r="F1332" s="536" t="s">
        <v>113</v>
      </c>
    </row>
    <row r="1333" spans="1:6" x14ac:dyDescent="0.2">
      <c r="A1333" s="1056"/>
      <c r="B1333" s="532" t="s">
        <v>700</v>
      </c>
      <c r="C1333" s="533"/>
      <c r="D1333" s="534">
        <v>60000</v>
      </c>
      <c r="E1333" s="535"/>
      <c r="F1333" s="536" t="s">
        <v>701</v>
      </c>
    </row>
    <row r="1334" spans="1:6" x14ac:dyDescent="0.2">
      <c r="A1334" s="531" t="s">
        <v>702</v>
      </c>
      <c r="B1334" s="532" t="s">
        <v>703</v>
      </c>
      <c r="C1334" s="533"/>
      <c r="D1334" s="534">
        <v>50000</v>
      </c>
      <c r="E1334" s="535"/>
      <c r="F1334" s="536" t="s">
        <v>10</v>
      </c>
    </row>
    <row r="1335" spans="1:6" x14ac:dyDescent="0.2">
      <c r="A1335" s="537" t="s">
        <v>704</v>
      </c>
      <c r="B1335" s="532" t="s">
        <v>705</v>
      </c>
      <c r="C1335" s="533"/>
      <c r="D1335" s="534">
        <v>220000</v>
      </c>
      <c r="E1335" s="535"/>
      <c r="F1335" s="536" t="s">
        <v>113</v>
      </c>
    </row>
    <row r="1336" spans="1:6" x14ac:dyDescent="0.2">
      <c r="A1336" s="537" t="s">
        <v>751</v>
      </c>
      <c r="B1336" s="532" t="s">
        <v>775</v>
      </c>
      <c r="C1336" s="533"/>
      <c r="D1336" s="534">
        <v>450000</v>
      </c>
      <c r="E1336" s="535"/>
      <c r="F1336" s="536" t="s">
        <v>113</v>
      </c>
    </row>
    <row r="1337" spans="1:6" x14ac:dyDescent="0.2">
      <c r="A1337" s="538" t="s">
        <v>627</v>
      </c>
      <c r="B1337" s="539" t="s">
        <v>706</v>
      </c>
      <c r="C1337" s="540"/>
      <c r="D1337" s="541">
        <f>SUM(D1338:D1340)</f>
        <v>500000</v>
      </c>
      <c r="E1337" s="542"/>
      <c r="F1337" s="543"/>
    </row>
    <row r="1338" spans="1:6" x14ac:dyDescent="0.2">
      <c r="A1338" s="544" t="s">
        <v>628</v>
      </c>
      <c r="B1338" s="545" t="s">
        <v>707</v>
      </c>
      <c r="C1338" s="546"/>
      <c r="D1338" s="547">
        <v>200000</v>
      </c>
      <c r="E1338" s="548"/>
      <c r="F1338" s="549" t="s">
        <v>113</v>
      </c>
    </row>
    <row r="1339" spans="1:6" x14ac:dyDescent="0.2">
      <c r="A1339" s="544" t="s">
        <v>629</v>
      </c>
      <c r="B1339" s="545" t="s">
        <v>563</v>
      </c>
      <c r="C1339" s="546"/>
      <c r="D1339" s="547">
        <v>150000</v>
      </c>
      <c r="E1339" s="548"/>
      <c r="F1339" s="549" t="s">
        <v>708</v>
      </c>
    </row>
    <row r="1340" spans="1:6" x14ac:dyDescent="0.2">
      <c r="A1340" s="544" t="s">
        <v>630</v>
      </c>
      <c r="B1340" s="545" t="s">
        <v>564</v>
      </c>
      <c r="C1340" s="546"/>
      <c r="D1340" s="547">
        <v>150000</v>
      </c>
      <c r="E1340" s="548"/>
      <c r="F1340" s="549" t="s">
        <v>124</v>
      </c>
    </row>
    <row r="1341" spans="1:6" ht="43.5" x14ac:dyDescent="0.2">
      <c r="A1341" s="550" t="s">
        <v>655</v>
      </c>
      <c r="B1341" s="551" t="s">
        <v>354</v>
      </c>
      <c r="C1341" s="552">
        <v>0.5</v>
      </c>
      <c r="D1341" s="553">
        <f>D1315*C1341</f>
        <v>3489577.2850000001</v>
      </c>
      <c r="E1341" s="554"/>
      <c r="F1341" s="555"/>
    </row>
    <row r="1342" spans="1:6" x14ac:dyDescent="0.2">
      <c r="A1342" s="556" t="s">
        <v>709</v>
      </c>
      <c r="B1342" s="557" t="s">
        <v>710</v>
      </c>
      <c r="C1342" s="558">
        <v>0.08</v>
      </c>
      <c r="D1342" s="559">
        <f>C1342*D1341</f>
        <v>279166.18280000001</v>
      </c>
      <c r="E1342" s="560"/>
      <c r="F1342" s="561"/>
    </row>
    <row r="1343" spans="1:6" ht="30" x14ac:dyDescent="0.2">
      <c r="A1343" s="556" t="s">
        <v>711</v>
      </c>
      <c r="B1343" s="557" t="s">
        <v>712</v>
      </c>
      <c r="C1343" s="558">
        <v>0.06</v>
      </c>
      <c r="D1343" s="559">
        <f>D1341*C1343</f>
        <v>209374.63709999999</v>
      </c>
      <c r="E1343" s="561"/>
      <c r="F1343" s="561"/>
    </row>
    <row r="1344" spans="1:6" x14ac:dyDescent="0.2">
      <c r="A1344" s="556" t="s">
        <v>713</v>
      </c>
      <c r="B1344" s="557" t="s">
        <v>714</v>
      </c>
      <c r="C1344" s="558"/>
      <c r="D1344" s="559">
        <v>50000</v>
      </c>
      <c r="E1344" s="560"/>
      <c r="F1344" s="561" t="s">
        <v>338</v>
      </c>
    </row>
    <row r="1345" spans="1:6" x14ac:dyDescent="0.2">
      <c r="A1345" s="556" t="s">
        <v>715</v>
      </c>
      <c r="B1345" s="557" t="s">
        <v>290</v>
      </c>
      <c r="C1345" s="558">
        <v>3.5000000000000003E-2</v>
      </c>
      <c r="D1345" s="559">
        <f>C1345*D1341</f>
        <v>122135.20497500002</v>
      </c>
      <c r="E1345" s="560"/>
      <c r="F1345" s="561" t="s">
        <v>124</v>
      </c>
    </row>
    <row r="1346" spans="1:6" x14ac:dyDescent="0.2">
      <c r="A1346" s="556" t="s">
        <v>716</v>
      </c>
      <c r="B1346" s="557" t="s">
        <v>360</v>
      </c>
      <c r="C1346" s="558">
        <v>5.5E-2</v>
      </c>
      <c r="D1346" s="559">
        <f>D1341*C1346</f>
        <v>191926.75067500002</v>
      </c>
      <c r="E1346" s="560"/>
      <c r="F1346" s="561" t="s">
        <v>717</v>
      </c>
    </row>
    <row r="1347" spans="1:6" x14ac:dyDescent="0.2">
      <c r="A1347" s="556" t="s">
        <v>718</v>
      </c>
      <c r="B1347" s="557" t="s">
        <v>361</v>
      </c>
      <c r="C1347" s="558">
        <v>0.06</v>
      </c>
      <c r="D1347" s="559">
        <f>C1347*D1341</f>
        <v>209374.63709999999</v>
      </c>
      <c r="E1347" s="560"/>
      <c r="F1347" s="561" t="s">
        <v>124</v>
      </c>
    </row>
    <row r="1348" spans="1:6" x14ac:dyDescent="0.2">
      <c r="A1348" s="556" t="s">
        <v>719</v>
      </c>
      <c r="B1348" s="557" t="s">
        <v>364</v>
      </c>
      <c r="C1348" s="558">
        <v>0.05</v>
      </c>
      <c r="D1348" s="559">
        <f>C1348*D1341</f>
        <v>174478.86425000001</v>
      </c>
      <c r="E1348" s="560"/>
      <c r="F1348" s="561"/>
    </row>
    <row r="1349" spans="1:6" x14ac:dyDescent="0.2">
      <c r="A1349" s="556" t="s">
        <v>720</v>
      </c>
      <c r="B1349" s="562" t="s">
        <v>366</v>
      </c>
      <c r="C1349" s="563">
        <v>0.06</v>
      </c>
      <c r="D1349" s="564">
        <f>D1341*C1349</f>
        <v>209374.63709999999</v>
      </c>
      <c r="E1349" s="565"/>
      <c r="F1349" s="561"/>
    </row>
    <row r="1350" spans="1:6" x14ac:dyDescent="0.2">
      <c r="A1350" s="556" t="s">
        <v>721</v>
      </c>
      <c r="B1350" s="562" t="s">
        <v>368</v>
      </c>
      <c r="C1350" s="563">
        <v>0.04</v>
      </c>
      <c r="D1350" s="564">
        <f>D1341*C1350</f>
        <v>139583.0914</v>
      </c>
      <c r="E1350" s="560"/>
      <c r="F1350" s="561"/>
    </row>
    <row r="1351" spans="1:6" x14ac:dyDescent="0.2">
      <c r="A1351" s="556" t="s">
        <v>722</v>
      </c>
      <c r="B1351" s="562" t="s">
        <v>723</v>
      </c>
      <c r="C1351" s="563">
        <v>0.04</v>
      </c>
      <c r="D1351" s="564">
        <f>C1351*D1341</f>
        <v>139583.0914</v>
      </c>
      <c r="E1351" s="560"/>
      <c r="F1351" s="561" t="s">
        <v>370</v>
      </c>
    </row>
    <row r="1352" spans="1:6" x14ac:dyDescent="0.2">
      <c r="A1352" s="556" t="s">
        <v>724</v>
      </c>
      <c r="B1352" s="562" t="s">
        <v>725</v>
      </c>
      <c r="C1352" s="563">
        <v>0.03</v>
      </c>
      <c r="D1352" s="564">
        <f>C1352*D1341</f>
        <v>104687.31855</v>
      </c>
      <c r="E1352" s="560"/>
      <c r="F1352" s="561"/>
    </row>
    <row r="1353" spans="1:6" x14ac:dyDescent="0.2">
      <c r="A1353" s="556" t="s">
        <v>726</v>
      </c>
      <c r="B1353" s="562" t="s">
        <v>299</v>
      </c>
      <c r="C1353" s="563">
        <v>4.4999999999999998E-2</v>
      </c>
      <c r="D1353" s="564">
        <f>C1353*D1341</f>
        <v>157030.97782500001</v>
      </c>
      <c r="E1353" s="560"/>
      <c r="F1353" s="561" t="s">
        <v>727</v>
      </c>
    </row>
    <row r="1354" spans="1:6" x14ac:dyDescent="0.2">
      <c r="A1354" s="556" t="s">
        <v>728</v>
      </c>
      <c r="B1354" s="562" t="s">
        <v>272</v>
      </c>
      <c r="C1354" s="563">
        <v>0.04</v>
      </c>
      <c r="D1354" s="564">
        <f>C1354*D1341</f>
        <v>139583.0914</v>
      </c>
      <c r="E1354" s="560"/>
      <c r="F1354" s="561"/>
    </row>
    <row r="1355" spans="1:6" x14ac:dyDescent="0.2">
      <c r="A1355" s="556" t="s">
        <v>729</v>
      </c>
      <c r="B1355" s="562" t="s">
        <v>273</v>
      </c>
      <c r="C1355" s="563">
        <v>0.02</v>
      </c>
      <c r="D1355" s="564">
        <f>C1355*D1341</f>
        <v>69791.545700000002</v>
      </c>
      <c r="E1355" s="565"/>
      <c r="F1355" s="561"/>
    </row>
    <row r="1356" spans="1:6" x14ac:dyDescent="0.2">
      <c r="A1356" s="556" t="s">
        <v>730</v>
      </c>
      <c r="B1356" s="562" t="s">
        <v>261</v>
      </c>
      <c r="C1356" s="563">
        <v>0.05</v>
      </c>
      <c r="D1356" s="564">
        <f>C1356*D1341</f>
        <v>174478.86425000001</v>
      </c>
      <c r="E1356" s="560"/>
      <c r="F1356" s="561" t="s">
        <v>373</v>
      </c>
    </row>
    <row r="1357" spans="1:6" x14ac:dyDescent="0.2">
      <c r="A1357" s="556" t="s">
        <v>731</v>
      </c>
      <c r="B1357" s="562" t="s">
        <v>776</v>
      </c>
      <c r="C1357" s="563">
        <v>0.03</v>
      </c>
      <c r="D1357" s="564">
        <f>C1357*D1341</f>
        <v>104687.31855</v>
      </c>
      <c r="E1357" s="560"/>
      <c r="F1357" s="561"/>
    </row>
    <row r="1358" spans="1:6" x14ac:dyDescent="0.2">
      <c r="A1358" s="556" t="s">
        <v>732</v>
      </c>
      <c r="B1358" s="562" t="s">
        <v>262</v>
      </c>
      <c r="C1358" s="563">
        <v>0.03</v>
      </c>
      <c r="D1358" s="564">
        <f>C1358*D1341</f>
        <v>104687.31855</v>
      </c>
      <c r="E1358" s="560"/>
      <c r="F1358" s="561"/>
    </row>
    <row r="1359" spans="1:6" x14ac:dyDescent="0.2">
      <c r="A1359" s="556" t="s">
        <v>734</v>
      </c>
      <c r="B1359" s="562" t="s">
        <v>341</v>
      </c>
      <c r="C1359" s="563">
        <v>0.08</v>
      </c>
      <c r="D1359" s="564">
        <f>C1359*D1341</f>
        <v>279166.18280000001</v>
      </c>
      <c r="E1359" s="565"/>
      <c r="F1359" s="561" t="s">
        <v>733</v>
      </c>
    </row>
    <row r="1360" spans="1:6" ht="30" x14ac:dyDescent="0.2">
      <c r="A1360" s="556" t="s">
        <v>777</v>
      </c>
      <c r="B1360" s="562" t="s">
        <v>100</v>
      </c>
      <c r="C1360" s="563">
        <v>0.05</v>
      </c>
      <c r="D1360" s="564">
        <f>C1360*D1341</f>
        <v>174478.86425000001</v>
      </c>
      <c r="E1360" s="566"/>
      <c r="F1360" s="560"/>
    </row>
    <row r="1361" spans="1:6" x14ac:dyDescent="0.2">
      <c r="A1361" s="550"/>
      <c r="B1361" s="567" t="s">
        <v>735</v>
      </c>
      <c r="C1361" s="568">
        <f>SUM(C1342:C1360)</f>
        <v>0.8550000000000002</v>
      </c>
      <c r="D1361" s="569">
        <f>SUM(D1342:D1360)</f>
        <v>3033588.5786750005</v>
      </c>
      <c r="E1361" s="570"/>
      <c r="F1361" s="554"/>
    </row>
    <row r="1362" spans="1:6" x14ac:dyDescent="0.2">
      <c r="A1362" s="550"/>
      <c r="B1362" s="567" t="s">
        <v>132</v>
      </c>
      <c r="C1362" s="568">
        <v>0.05</v>
      </c>
      <c r="D1362" s="569">
        <f>C1362*D1341</f>
        <v>174478.86425000001</v>
      </c>
      <c r="E1362" s="570"/>
      <c r="F1362" s="554"/>
    </row>
    <row r="1363" spans="1:6" ht="28.5" x14ac:dyDescent="0.2">
      <c r="A1363" s="550"/>
      <c r="B1363" s="567" t="s">
        <v>308</v>
      </c>
      <c r="C1363" s="568">
        <f>D1363/D1315</f>
        <v>5.3096114666650783E-2</v>
      </c>
      <c r="D1363" s="569">
        <f>D1315-D1316-D1319-D1327-D1323-D1337-D1361</f>
        <v>370565.99132499984</v>
      </c>
      <c r="E1363" s="570"/>
      <c r="F1363" s="554"/>
    </row>
    <row r="1364" spans="1:6" ht="28.5" x14ac:dyDescent="0.2">
      <c r="A1364" s="571"/>
      <c r="B1364" s="572" t="s">
        <v>375</v>
      </c>
      <c r="C1364" s="573">
        <f>D1364/D1315</f>
        <v>7.8096114666650771E-2</v>
      </c>
      <c r="D1364" s="574">
        <f>D1363+D1362</f>
        <v>545044.85557499982</v>
      </c>
      <c r="E1364" s="575"/>
      <c r="F1364" s="575"/>
    </row>
    <row r="1365" spans="1:6" ht="69" customHeight="1" x14ac:dyDescent="0.2">
      <c r="A1365" s="804" t="s">
        <v>781</v>
      </c>
      <c r="B1365" s="805"/>
      <c r="C1365" s="805"/>
      <c r="D1365" s="805"/>
      <c r="E1365" s="805"/>
      <c r="F1365" s="806"/>
    </row>
    <row r="1366" spans="1:6" x14ac:dyDescent="0.2">
      <c r="A1366" s="173">
        <v>1</v>
      </c>
      <c r="B1366" s="254" t="s">
        <v>352</v>
      </c>
      <c r="C1366" s="175"/>
      <c r="D1366" s="798">
        <v>7469668.2400000002</v>
      </c>
      <c r="E1366" s="799"/>
      <c r="F1366" s="800"/>
    </row>
    <row r="1367" spans="1:6" x14ac:dyDescent="0.2">
      <c r="A1367" s="493">
        <v>2</v>
      </c>
      <c r="B1367" s="494" t="s">
        <v>499</v>
      </c>
      <c r="C1367" s="495"/>
      <c r="D1367" s="496">
        <f>SUM(D1368:D1369)</f>
        <v>800000</v>
      </c>
      <c r="E1367" s="496"/>
      <c r="F1367" s="496"/>
    </row>
    <row r="1368" spans="1:6" x14ac:dyDescent="0.2">
      <c r="A1368" s="497" t="s">
        <v>613</v>
      </c>
      <c r="B1368" s="498" t="s">
        <v>675</v>
      </c>
      <c r="C1368" s="499"/>
      <c r="D1368" s="500">
        <v>350000</v>
      </c>
      <c r="E1368" s="501"/>
      <c r="F1368" s="419" t="s">
        <v>676</v>
      </c>
    </row>
    <row r="1369" spans="1:6" x14ac:dyDescent="0.2">
      <c r="A1369" s="497" t="s">
        <v>615</v>
      </c>
      <c r="B1369" s="498" t="s">
        <v>552</v>
      </c>
      <c r="C1369" s="499"/>
      <c r="D1369" s="500">
        <v>450000</v>
      </c>
      <c r="E1369" s="501"/>
      <c r="F1369" s="419"/>
    </row>
    <row r="1370" spans="1:6" x14ac:dyDescent="0.2">
      <c r="A1370" s="502" t="s">
        <v>623</v>
      </c>
      <c r="B1370" s="503" t="s">
        <v>677</v>
      </c>
      <c r="C1370" s="504"/>
      <c r="D1370" s="505">
        <f>SUM(D1371:D1373)</f>
        <v>850000</v>
      </c>
      <c r="E1370" s="506"/>
      <c r="F1370" s="507"/>
    </row>
    <row r="1371" spans="1:6" x14ac:dyDescent="0.2">
      <c r="A1371" s="508" t="s">
        <v>678</v>
      </c>
      <c r="B1371" s="509" t="s">
        <v>353</v>
      </c>
      <c r="C1371" s="510"/>
      <c r="D1371" s="511">
        <v>300000</v>
      </c>
      <c r="E1371" s="512"/>
      <c r="F1371" s="513" t="s">
        <v>782</v>
      </c>
    </row>
    <row r="1372" spans="1:6" x14ac:dyDescent="0.2">
      <c r="A1372" s="508" t="s">
        <v>680</v>
      </c>
      <c r="B1372" s="509" t="s">
        <v>681</v>
      </c>
      <c r="C1372" s="510"/>
      <c r="D1372" s="511">
        <v>150000</v>
      </c>
      <c r="E1372" s="512"/>
      <c r="F1372" s="513"/>
    </row>
    <row r="1373" spans="1:6" x14ac:dyDescent="0.2">
      <c r="A1373" s="508" t="s">
        <v>682</v>
      </c>
      <c r="B1373" s="509" t="s">
        <v>683</v>
      </c>
      <c r="C1373" s="510"/>
      <c r="D1373" s="511">
        <v>400000</v>
      </c>
      <c r="E1373" s="512"/>
      <c r="F1373" s="513"/>
    </row>
    <row r="1374" spans="1:6" x14ac:dyDescent="0.2">
      <c r="A1374" s="514" t="s">
        <v>625</v>
      </c>
      <c r="B1374" s="515" t="s">
        <v>686</v>
      </c>
      <c r="C1374" s="516"/>
      <c r="D1374" s="517">
        <f>SUM(D1375:D1377)</f>
        <v>150000</v>
      </c>
      <c r="E1374" s="518"/>
      <c r="F1374" s="519"/>
    </row>
    <row r="1375" spans="1:6" x14ac:dyDescent="0.2">
      <c r="A1375" s="520" t="s">
        <v>687</v>
      </c>
      <c r="B1375" s="521" t="s">
        <v>688</v>
      </c>
      <c r="C1375" s="522"/>
      <c r="D1375" s="523">
        <v>50000</v>
      </c>
      <c r="E1375" s="524"/>
      <c r="F1375" s="1057" t="s">
        <v>113</v>
      </c>
    </row>
    <row r="1376" spans="1:6" x14ac:dyDescent="0.2">
      <c r="A1376" s="520" t="s">
        <v>689</v>
      </c>
      <c r="B1376" s="521" t="s">
        <v>690</v>
      </c>
      <c r="C1376" s="522"/>
      <c r="D1376" s="523">
        <v>50000</v>
      </c>
      <c r="E1376" s="524"/>
      <c r="F1376" s="1058"/>
    </row>
    <row r="1377" spans="1:6" x14ac:dyDescent="0.2">
      <c r="A1377" s="520" t="s">
        <v>691</v>
      </c>
      <c r="B1377" s="521" t="s">
        <v>692</v>
      </c>
      <c r="C1377" s="522"/>
      <c r="D1377" s="523">
        <v>50000</v>
      </c>
      <c r="E1377" s="524"/>
      <c r="F1377" s="1059"/>
    </row>
    <row r="1378" spans="1:6" x14ac:dyDescent="0.2">
      <c r="A1378" s="525">
        <v>4</v>
      </c>
      <c r="B1378" s="526" t="s">
        <v>693</v>
      </c>
      <c r="C1378" s="527"/>
      <c r="D1378" s="528">
        <f>SUM(D1379:D1387)</f>
        <v>1323000</v>
      </c>
      <c r="E1378" s="529"/>
      <c r="F1378" s="530"/>
    </row>
    <row r="1379" spans="1:6" x14ac:dyDescent="0.2">
      <c r="A1379" s="1055" t="s">
        <v>687</v>
      </c>
      <c r="B1379" s="532" t="s">
        <v>694</v>
      </c>
      <c r="C1379" s="533"/>
      <c r="D1379" s="534">
        <v>220000</v>
      </c>
      <c r="E1379" s="535"/>
      <c r="F1379" s="536" t="s">
        <v>695</v>
      </c>
    </row>
    <row r="1380" spans="1:6" x14ac:dyDescent="0.2">
      <c r="A1380" s="1056"/>
      <c r="B1380" s="532" t="s">
        <v>696</v>
      </c>
      <c r="C1380" s="533"/>
      <c r="D1380" s="534">
        <v>3000</v>
      </c>
      <c r="E1380" s="535"/>
      <c r="F1380" s="536"/>
    </row>
    <row r="1381" spans="1:6" x14ac:dyDescent="0.2">
      <c r="A1381" s="1055" t="s">
        <v>689</v>
      </c>
      <c r="B1381" s="532" t="s">
        <v>561</v>
      </c>
      <c r="C1381" s="533"/>
      <c r="D1381" s="534">
        <v>150000</v>
      </c>
      <c r="E1381" s="535"/>
      <c r="F1381" s="536" t="s">
        <v>123</v>
      </c>
    </row>
    <row r="1382" spans="1:6" x14ac:dyDescent="0.2">
      <c r="A1382" s="1056"/>
      <c r="B1382" s="532" t="s">
        <v>697</v>
      </c>
      <c r="C1382" s="533"/>
      <c r="D1382" s="534">
        <v>120000</v>
      </c>
      <c r="E1382" s="535"/>
      <c r="F1382" s="536" t="s">
        <v>698</v>
      </c>
    </row>
    <row r="1383" spans="1:6" x14ac:dyDescent="0.2">
      <c r="A1383" s="1055" t="s">
        <v>691</v>
      </c>
      <c r="B1383" s="532" t="s">
        <v>699</v>
      </c>
      <c r="C1383" s="533"/>
      <c r="D1383" s="534">
        <v>50000</v>
      </c>
      <c r="E1383" s="535"/>
      <c r="F1383" s="536" t="s">
        <v>113</v>
      </c>
    </row>
    <row r="1384" spans="1:6" x14ac:dyDescent="0.2">
      <c r="A1384" s="1056"/>
      <c r="B1384" s="532" t="s">
        <v>700</v>
      </c>
      <c r="C1384" s="533"/>
      <c r="D1384" s="534">
        <v>60000</v>
      </c>
      <c r="E1384" s="535"/>
      <c r="F1384" s="536" t="s">
        <v>701</v>
      </c>
    </row>
    <row r="1385" spans="1:6" x14ac:dyDescent="0.2">
      <c r="A1385" s="531" t="s">
        <v>702</v>
      </c>
      <c r="B1385" s="532" t="s">
        <v>703</v>
      </c>
      <c r="C1385" s="533"/>
      <c r="D1385" s="534">
        <v>50000</v>
      </c>
      <c r="E1385" s="535"/>
      <c r="F1385" s="536" t="s">
        <v>10</v>
      </c>
    </row>
    <row r="1386" spans="1:6" x14ac:dyDescent="0.2">
      <c r="A1386" s="537" t="s">
        <v>704</v>
      </c>
      <c r="B1386" s="532" t="s">
        <v>705</v>
      </c>
      <c r="C1386" s="533"/>
      <c r="D1386" s="534">
        <v>220000</v>
      </c>
      <c r="E1386" s="535"/>
      <c r="F1386" s="536" t="s">
        <v>113</v>
      </c>
    </row>
    <row r="1387" spans="1:6" x14ac:dyDescent="0.2">
      <c r="A1387" s="537" t="s">
        <v>751</v>
      </c>
      <c r="B1387" s="532" t="s">
        <v>775</v>
      </c>
      <c r="C1387" s="533"/>
      <c r="D1387" s="534">
        <v>450000</v>
      </c>
      <c r="E1387" s="535"/>
      <c r="F1387" s="536" t="s">
        <v>113</v>
      </c>
    </row>
    <row r="1388" spans="1:6" x14ac:dyDescent="0.2">
      <c r="A1388" s="538" t="s">
        <v>627</v>
      </c>
      <c r="B1388" s="539" t="s">
        <v>706</v>
      </c>
      <c r="C1388" s="540"/>
      <c r="D1388" s="541">
        <f>SUM(D1389:D1391)</f>
        <v>500000</v>
      </c>
      <c r="E1388" s="542"/>
      <c r="F1388" s="543"/>
    </row>
    <row r="1389" spans="1:6" x14ac:dyDescent="0.2">
      <c r="A1389" s="544" t="s">
        <v>628</v>
      </c>
      <c r="B1389" s="545" t="s">
        <v>707</v>
      </c>
      <c r="C1389" s="546"/>
      <c r="D1389" s="547">
        <v>200000</v>
      </c>
      <c r="E1389" s="548"/>
      <c r="F1389" s="549" t="s">
        <v>113</v>
      </c>
    </row>
    <row r="1390" spans="1:6" x14ac:dyDescent="0.2">
      <c r="A1390" s="544" t="s">
        <v>629</v>
      </c>
      <c r="B1390" s="545" t="s">
        <v>563</v>
      </c>
      <c r="C1390" s="546"/>
      <c r="D1390" s="547">
        <v>150000</v>
      </c>
      <c r="E1390" s="548"/>
      <c r="F1390" s="549" t="s">
        <v>708</v>
      </c>
    </row>
    <row r="1391" spans="1:6" x14ac:dyDescent="0.2">
      <c r="A1391" s="544" t="s">
        <v>630</v>
      </c>
      <c r="B1391" s="545" t="s">
        <v>564</v>
      </c>
      <c r="C1391" s="546"/>
      <c r="D1391" s="547">
        <v>150000</v>
      </c>
      <c r="E1391" s="548"/>
      <c r="F1391" s="549" t="s">
        <v>124</v>
      </c>
    </row>
    <row r="1392" spans="1:6" ht="43.5" x14ac:dyDescent="0.2">
      <c r="A1392" s="550" t="s">
        <v>655</v>
      </c>
      <c r="B1392" s="551" t="s">
        <v>354</v>
      </c>
      <c r="C1392" s="552">
        <v>0.5</v>
      </c>
      <c r="D1392" s="553">
        <f>D1366*C1392</f>
        <v>3734834.12</v>
      </c>
      <c r="E1392" s="554"/>
      <c r="F1392" s="555"/>
    </row>
    <row r="1393" spans="1:6" x14ac:dyDescent="0.2">
      <c r="A1393" s="556" t="s">
        <v>709</v>
      </c>
      <c r="B1393" s="557" t="s">
        <v>710</v>
      </c>
      <c r="C1393" s="558">
        <v>0.08</v>
      </c>
      <c r="D1393" s="559">
        <f>C1393*D1392</f>
        <v>298786.72960000002</v>
      </c>
      <c r="E1393" s="560"/>
      <c r="F1393" s="561"/>
    </row>
    <row r="1394" spans="1:6" ht="30" x14ac:dyDescent="0.2">
      <c r="A1394" s="556" t="s">
        <v>711</v>
      </c>
      <c r="B1394" s="557" t="s">
        <v>712</v>
      </c>
      <c r="C1394" s="558">
        <v>0.06</v>
      </c>
      <c r="D1394" s="559">
        <f>D1392*C1394</f>
        <v>224090.0472</v>
      </c>
      <c r="E1394" s="561"/>
      <c r="F1394" s="561"/>
    </row>
    <row r="1395" spans="1:6" x14ac:dyDescent="0.2">
      <c r="A1395" s="556" t="s">
        <v>713</v>
      </c>
      <c r="B1395" s="557" t="s">
        <v>714</v>
      </c>
      <c r="C1395" s="558"/>
      <c r="D1395" s="559">
        <v>50000</v>
      </c>
      <c r="E1395" s="560"/>
      <c r="F1395" s="561" t="s">
        <v>338</v>
      </c>
    </row>
    <row r="1396" spans="1:6" x14ac:dyDescent="0.2">
      <c r="A1396" s="556" t="s">
        <v>715</v>
      </c>
      <c r="B1396" s="557" t="s">
        <v>290</v>
      </c>
      <c r="C1396" s="558">
        <v>3.5000000000000003E-2</v>
      </c>
      <c r="D1396" s="559">
        <f>C1396*D1392</f>
        <v>130719.19420000001</v>
      </c>
      <c r="E1396" s="560"/>
      <c r="F1396" s="561" t="s">
        <v>124</v>
      </c>
    </row>
    <row r="1397" spans="1:6" x14ac:dyDescent="0.2">
      <c r="A1397" s="556" t="s">
        <v>716</v>
      </c>
      <c r="B1397" s="557" t="s">
        <v>360</v>
      </c>
      <c r="C1397" s="558">
        <v>0.06</v>
      </c>
      <c r="D1397" s="559">
        <f>D1392*C1397</f>
        <v>224090.0472</v>
      </c>
      <c r="E1397" s="560"/>
      <c r="F1397" s="561" t="s">
        <v>717</v>
      </c>
    </row>
    <row r="1398" spans="1:6" x14ac:dyDescent="0.2">
      <c r="A1398" s="556" t="s">
        <v>718</v>
      </c>
      <c r="B1398" s="557" t="s">
        <v>361</v>
      </c>
      <c r="C1398" s="558">
        <v>7.0000000000000007E-2</v>
      </c>
      <c r="D1398" s="559">
        <f>C1398*D1392</f>
        <v>261438.38840000003</v>
      </c>
      <c r="E1398" s="560"/>
      <c r="F1398" s="561" t="s">
        <v>124</v>
      </c>
    </row>
    <row r="1399" spans="1:6" x14ac:dyDescent="0.2">
      <c r="A1399" s="556" t="s">
        <v>719</v>
      </c>
      <c r="B1399" s="557" t="s">
        <v>364</v>
      </c>
      <c r="C1399" s="558">
        <v>4.4999999999999998E-2</v>
      </c>
      <c r="D1399" s="559">
        <f>C1399*D1392</f>
        <v>168067.53539999999</v>
      </c>
      <c r="E1399" s="560"/>
      <c r="F1399" s="561"/>
    </row>
    <row r="1400" spans="1:6" x14ac:dyDescent="0.2">
      <c r="A1400" s="556" t="s">
        <v>720</v>
      </c>
      <c r="B1400" s="562" t="s">
        <v>366</v>
      </c>
      <c r="C1400" s="563">
        <v>0.06</v>
      </c>
      <c r="D1400" s="564">
        <f>D1392*C1400</f>
        <v>224090.0472</v>
      </c>
      <c r="E1400" s="565"/>
      <c r="F1400" s="561"/>
    </row>
    <row r="1401" spans="1:6" x14ac:dyDescent="0.2">
      <c r="A1401" s="556" t="s">
        <v>721</v>
      </c>
      <c r="B1401" s="562" t="s">
        <v>368</v>
      </c>
      <c r="C1401" s="563">
        <v>0.05</v>
      </c>
      <c r="D1401" s="564">
        <f>D1392*C1401</f>
        <v>186741.70600000001</v>
      </c>
      <c r="E1401" s="560"/>
      <c r="F1401" s="561"/>
    </row>
    <row r="1402" spans="1:6" x14ac:dyDescent="0.2">
      <c r="A1402" s="556" t="s">
        <v>722</v>
      </c>
      <c r="B1402" s="562" t="s">
        <v>723</v>
      </c>
      <c r="C1402" s="563">
        <v>0.04</v>
      </c>
      <c r="D1402" s="564">
        <f>C1402*D1392</f>
        <v>149393.36480000001</v>
      </c>
      <c r="E1402" s="560"/>
      <c r="F1402" s="561" t="s">
        <v>370</v>
      </c>
    </row>
    <row r="1403" spans="1:6" x14ac:dyDescent="0.2">
      <c r="A1403" s="556" t="s">
        <v>724</v>
      </c>
      <c r="B1403" s="562" t="s">
        <v>725</v>
      </c>
      <c r="C1403" s="563">
        <v>0.05</v>
      </c>
      <c r="D1403" s="564">
        <f>C1403*D1392</f>
        <v>186741.70600000001</v>
      </c>
      <c r="E1403" s="560"/>
      <c r="F1403" s="561"/>
    </row>
    <row r="1404" spans="1:6" x14ac:dyDescent="0.2">
      <c r="A1404" s="556" t="s">
        <v>726</v>
      </c>
      <c r="B1404" s="562" t="s">
        <v>299</v>
      </c>
      <c r="C1404" s="563">
        <v>0.04</v>
      </c>
      <c r="D1404" s="564">
        <f>C1404*D1392</f>
        <v>149393.36480000001</v>
      </c>
      <c r="E1404" s="560"/>
      <c r="F1404" s="561" t="s">
        <v>727</v>
      </c>
    </row>
    <row r="1405" spans="1:6" x14ac:dyDescent="0.2">
      <c r="A1405" s="556" t="s">
        <v>728</v>
      </c>
      <c r="B1405" s="562" t="s">
        <v>272</v>
      </c>
      <c r="C1405" s="563">
        <v>3.5000000000000003E-2</v>
      </c>
      <c r="D1405" s="564">
        <f>C1405*D1392</f>
        <v>130719.19420000001</v>
      </c>
      <c r="E1405" s="560"/>
      <c r="F1405" s="561"/>
    </row>
    <row r="1406" spans="1:6" x14ac:dyDescent="0.2">
      <c r="A1406" s="556" t="s">
        <v>729</v>
      </c>
      <c r="B1406" s="562" t="s">
        <v>273</v>
      </c>
      <c r="C1406" s="563">
        <v>0.02</v>
      </c>
      <c r="D1406" s="564">
        <f>C1406*D1392</f>
        <v>74696.682400000005</v>
      </c>
      <c r="E1406" s="565"/>
      <c r="F1406" s="561"/>
    </row>
    <row r="1407" spans="1:6" x14ac:dyDescent="0.2">
      <c r="A1407" s="556" t="s">
        <v>730</v>
      </c>
      <c r="B1407" s="562" t="s">
        <v>261</v>
      </c>
      <c r="C1407" s="563">
        <v>0.04</v>
      </c>
      <c r="D1407" s="564">
        <f>C1407*D1392</f>
        <v>149393.36480000001</v>
      </c>
      <c r="E1407" s="560"/>
      <c r="F1407" s="561" t="s">
        <v>373</v>
      </c>
    </row>
    <row r="1408" spans="1:6" x14ac:dyDescent="0.2">
      <c r="A1408" s="556" t="s">
        <v>731</v>
      </c>
      <c r="B1408" s="562" t="s">
        <v>776</v>
      </c>
      <c r="C1408" s="563">
        <v>0.03</v>
      </c>
      <c r="D1408" s="564">
        <f>C1408*D1392</f>
        <v>112045.0236</v>
      </c>
      <c r="E1408" s="560"/>
      <c r="F1408" s="561" t="s">
        <v>373</v>
      </c>
    </row>
    <row r="1409" spans="1:10" x14ac:dyDescent="0.2">
      <c r="A1409" s="556" t="s">
        <v>732</v>
      </c>
      <c r="B1409" s="562" t="s">
        <v>262</v>
      </c>
      <c r="C1409" s="563">
        <v>2.5000000000000001E-2</v>
      </c>
      <c r="D1409" s="564">
        <f>C1409*D1392</f>
        <v>93370.853000000003</v>
      </c>
      <c r="E1409" s="560"/>
      <c r="F1409" s="561"/>
    </row>
    <row r="1410" spans="1:10" x14ac:dyDescent="0.2">
      <c r="A1410" s="556" t="s">
        <v>734</v>
      </c>
      <c r="B1410" s="562" t="s">
        <v>341</v>
      </c>
      <c r="C1410" s="563">
        <v>0.08</v>
      </c>
      <c r="D1410" s="564">
        <f>C1410*D1392</f>
        <v>298786.72960000002</v>
      </c>
      <c r="E1410" s="565"/>
      <c r="F1410" s="561" t="s">
        <v>733</v>
      </c>
    </row>
    <row r="1411" spans="1:10" ht="30" x14ac:dyDescent="0.2">
      <c r="A1411" s="556" t="s">
        <v>777</v>
      </c>
      <c r="B1411" s="562" t="s">
        <v>100</v>
      </c>
      <c r="C1411" s="563">
        <v>0.05</v>
      </c>
      <c r="D1411" s="564">
        <f>C1411*D1392</f>
        <v>186741.70600000001</v>
      </c>
      <c r="E1411" s="566"/>
      <c r="F1411" s="560"/>
    </row>
    <row r="1412" spans="1:10" x14ac:dyDescent="0.2">
      <c r="A1412" s="550"/>
      <c r="B1412" s="567" t="s">
        <v>735</v>
      </c>
      <c r="C1412" s="568">
        <f>SUM(C1393:C1411)</f>
        <v>0.87000000000000022</v>
      </c>
      <c r="D1412" s="569">
        <f>SUM(D1393:D1411)</f>
        <v>3299305.6843999997</v>
      </c>
      <c r="E1412" s="570"/>
      <c r="F1412" s="554"/>
    </row>
    <row r="1413" spans="1:10" x14ac:dyDescent="0.2">
      <c r="A1413" s="550"/>
      <c r="B1413" s="567" t="s">
        <v>132</v>
      </c>
      <c r="C1413" s="568">
        <v>0.05</v>
      </c>
      <c r="D1413" s="569">
        <f>C1413*D1392</f>
        <v>186741.70600000001</v>
      </c>
      <c r="E1413" s="570"/>
      <c r="F1413" s="554"/>
    </row>
    <row r="1414" spans="1:10" ht="28.5" x14ac:dyDescent="0.2">
      <c r="A1414" s="550"/>
      <c r="B1414" s="567" t="s">
        <v>308</v>
      </c>
      <c r="C1414" s="568">
        <f>D1414/D1366</f>
        <v>7.3278027619604225E-2</v>
      </c>
      <c r="D1414" s="569">
        <f>D1366-D1367-D1370-D1378-D1374-D1388-D1412</f>
        <v>547362.55560000055</v>
      </c>
      <c r="E1414" s="570"/>
      <c r="F1414" s="554"/>
    </row>
    <row r="1415" spans="1:10" ht="21" customHeight="1" x14ac:dyDescent="0.2">
      <c r="A1415" s="571"/>
      <c r="B1415" s="572" t="s">
        <v>375</v>
      </c>
      <c r="C1415" s="573">
        <f>D1415/D1366</f>
        <v>9.8278027619604233E-2</v>
      </c>
      <c r="D1415" s="574">
        <f>D1414+D1413</f>
        <v>734104.26160000055</v>
      </c>
      <c r="E1415" s="575"/>
      <c r="F1415" s="575"/>
    </row>
    <row r="1416" spans="1:10" s="1" customFormat="1" ht="21" customHeight="1" x14ac:dyDescent="0.2">
      <c r="A1416" s="907" t="s">
        <v>347</v>
      </c>
      <c r="B1416" s="908"/>
      <c r="C1416" s="908"/>
      <c r="D1416" s="908"/>
      <c r="E1416" s="908"/>
      <c r="F1416" s="909"/>
      <c r="G1416" s="250" t="s">
        <v>348</v>
      </c>
      <c r="H1416" s="250" t="s">
        <v>349</v>
      </c>
      <c r="I1416" s="250"/>
      <c r="J1416" s="251" t="s">
        <v>350</v>
      </c>
    </row>
    <row r="1417" spans="1:10" s="1" customFormat="1" ht="45" customHeight="1" x14ac:dyDescent="0.2">
      <c r="A1417" s="804" t="s">
        <v>742</v>
      </c>
      <c r="B1417" s="805"/>
      <c r="C1417" s="805"/>
      <c r="D1417" s="805"/>
      <c r="E1417" s="805"/>
      <c r="F1417" s="806"/>
      <c r="G1417" s="252">
        <v>0.1</v>
      </c>
      <c r="H1417" s="584">
        <f>D1418-D1418*G1417</f>
        <v>19130472</v>
      </c>
      <c r="I1417" s="584"/>
      <c r="J1417" s="253">
        <f>H1417-(D1419+D1421+D1426+D1446+D1447)</f>
        <v>5656058.6000000015</v>
      </c>
    </row>
    <row r="1418" spans="1:10" s="1" customFormat="1" ht="18.75" x14ac:dyDescent="0.2">
      <c r="A1418" s="173">
        <v>1</v>
      </c>
      <c r="B1418" s="254"/>
      <c r="C1418" s="175"/>
      <c r="D1418" s="798">
        <v>21256080</v>
      </c>
      <c r="E1418" s="799"/>
      <c r="F1418" s="934"/>
      <c r="G1418" s="252">
        <v>0.15</v>
      </c>
      <c r="H1418" s="584">
        <f>D1418-D1418*G1418</f>
        <v>18067668</v>
      </c>
      <c r="I1418" s="584"/>
      <c r="J1418" s="253">
        <f>H1418-(D1419+D1421+D1426+D1446+D1447)</f>
        <v>4593254.6000000015</v>
      </c>
    </row>
    <row r="1419" spans="1:10" s="1" customFormat="1" ht="18.75" x14ac:dyDescent="0.2">
      <c r="A1419" s="493">
        <v>2</v>
      </c>
      <c r="B1419" s="494" t="s">
        <v>499</v>
      </c>
      <c r="C1419" s="495"/>
      <c r="D1419" s="496">
        <f>SUM(D1420:D1420)</f>
        <v>1500000</v>
      </c>
      <c r="E1419" s="496"/>
      <c r="F1419" s="496"/>
      <c r="G1419" s="252">
        <v>0.2</v>
      </c>
      <c r="H1419" s="584">
        <f>D1418-D1418*G1419</f>
        <v>17004864</v>
      </c>
      <c r="I1419" s="584"/>
      <c r="J1419" s="253">
        <f>H1419-(D1419+D1421+D1426+D1446+D1447)</f>
        <v>3530450.6000000015</v>
      </c>
    </row>
    <row r="1420" spans="1:10" ht="18.75" x14ac:dyDescent="0.2">
      <c r="A1420" s="497" t="s">
        <v>613</v>
      </c>
      <c r="B1420" s="498" t="s">
        <v>743</v>
      </c>
      <c r="C1420" s="499"/>
      <c r="D1420" s="500">
        <v>1500000</v>
      </c>
      <c r="E1420" s="501"/>
      <c r="F1420" s="419" t="s">
        <v>676</v>
      </c>
      <c r="G1420" s="252">
        <v>0.25</v>
      </c>
      <c r="H1420" s="584">
        <f>D1418-D1418*G1420</f>
        <v>15942060</v>
      </c>
      <c r="I1420" s="584"/>
      <c r="J1420" s="253">
        <f>H1420-(D1419+D1421+D1426+D1446+D1447)</f>
        <v>2467646.6000000015</v>
      </c>
    </row>
    <row r="1421" spans="1:10" ht="18.75" x14ac:dyDescent="0.2">
      <c r="A1421" s="502" t="s">
        <v>623</v>
      </c>
      <c r="B1421" s="503" t="s">
        <v>744</v>
      </c>
      <c r="C1421" s="504"/>
      <c r="D1421" s="505">
        <f>SUM(D1422:D1425)</f>
        <v>1600000</v>
      </c>
      <c r="E1421" s="506"/>
      <c r="F1421" s="507"/>
      <c r="G1421" s="252"/>
      <c r="H1421" s="584"/>
      <c r="I1421" s="584"/>
      <c r="J1421" s="253"/>
    </row>
    <row r="1422" spans="1:10" x14ac:dyDescent="0.2">
      <c r="A1422" s="508" t="s">
        <v>678</v>
      </c>
      <c r="B1422" s="509" t="s">
        <v>353</v>
      </c>
      <c r="C1422" s="510"/>
      <c r="D1422" s="511">
        <v>500000</v>
      </c>
      <c r="E1422" s="512"/>
      <c r="F1422" s="513"/>
    </row>
    <row r="1423" spans="1:10" x14ac:dyDescent="0.2">
      <c r="A1423" s="508" t="s">
        <v>680</v>
      </c>
      <c r="B1423" s="509" t="s">
        <v>681</v>
      </c>
      <c r="C1423" s="510"/>
      <c r="D1423" s="511">
        <v>300000</v>
      </c>
      <c r="E1423" s="512"/>
      <c r="F1423" s="513"/>
    </row>
    <row r="1424" spans="1:10" x14ac:dyDescent="0.2">
      <c r="A1424" s="508" t="s">
        <v>682</v>
      </c>
      <c r="B1424" s="509" t="s">
        <v>745</v>
      </c>
      <c r="C1424" s="510"/>
      <c r="D1424" s="511">
        <v>400000</v>
      </c>
      <c r="E1424" s="512"/>
      <c r="F1424" s="513"/>
    </row>
    <row r="1425" spans="1:6" x14ac:dyDescent="0.2">
      <c r="A1425" s="508" t="s">
        <v>684</v>
      </c>
      <c r="B1425" s="509" t="s">
        <v>746</v>
      </c>
      <c r="C1425" s="510"/>
      <c r="D1425" s="511">
        <v>400000</v>
      </c>
      <c r="E1425" s="512"/>
      <c r="F1425" s="513"/>
    </row>
    <row r="1426" spans="1:6" ht="45" x14ac:dyDescent="0.2">
      <c r="A1426" s="538" t="s">
        <v>625</v>
      </c>
      <c r="B1426" s="539" t="s">
        <v>747</v>
      </c>
      <c r="C1426" s="540"/>
      <c r="D1426" s="577">
        <v>1500000</v>
      </c>
      <c r="E1426" s="542"/>
      <c r="F1426" s="543"/>
    </row>
    <row r="1427" spans="1:6" ht="43.5" x14ac:dyDescent="0.2">
      <c r="A1427" s="550" t="s">
        <v>655</v>
      </c>
      <c r="B1427" s="551" t="s">
        <v>354</v>
      </c>
      <c r="C1427" s="552">
        <v>0.5</v>
      </c>
      <c r="D1427" s="553">
        <f>D1418*C1427</f>
        <v>10628040</v>
      </c>
      <c r="E1427" s="554"/>
      <c r="F1427" s="555"/>
    </row>
    <row r="1428" spans="1:6" ht="30" x14ac:dyDescent="0.2">
      <c r="A1428" s="556" t="s">
        <v>709</v>
      </c>
      <c r="B1428" s="557" t="s">
        <v>748</v>
      </c>
      <c r="C1428" s="558">
        <v>0.06</v>
      </c>
      <c r="D1428" s="559">
        <f>C1428*D1427</f>
        <v>637682.4</v>
      </c>
      <c r="E1428" s="560"/>
      <c r="F1428" s="561"/>
    </row>
    <row r="1429" spans="1:6" x14ac:dyDescent="0.2">
      <c r="A1429" s="556" t="s">
        <v>711</v>
      </c>
      <c r="B1429" s="557" t="s">
        <v>355</v>
      </c>
      <c r="C1429" s="558">
        <v>0.04</v>
      </c>
      <c r="D1429" s="559">
        <f>C1429*D1427</f>
        <v>425121.60000000003</v>
      </c>
      <c r="E1429" s="560"/>
      <c r="F1429" s="561"/>
    </row>
    <row r="1430" spans="1:6" ht="30" x14ac:dyDescent="0.2">
      <c r="A1430" s="556" t="s">
        <v>713</v>
      </c>
      <c r="B1430" s="557" t="s">
        <v>712</v>
      </c>
      <c r="C1430" s="558">
        <v>0.04</v>
      </c>
      <c r="D1430" s="559">
        <f>D1427*C1430</f>
        <v>425121.60000000003</v>
      </c>
      <c r="E1430" s="561"/>
      <c r="F1430" s="561"/>
    </row>
    <row r="1431" spans="1:6" x14ac:dyDescent="0.2">
      <c r="A1431" s="556" t="s">
        <v>715</v>
      </c>
      <c r="B1431" s="557" t="s">
        <v>290</v>
      </c>
      <c r="C1431" s="558">
        <v>2.5000000000000001E-2</v>
      </c>
      <c r="D1431" s="559">
        <f>C1431*D1427</f>
        <v>265701</v>
      </c>
      <c r="E1431" s="560"/>
      <c r="F1431" s="561"/>
    </row>
    <row r="1432" spans="1:6" x14ac:dyDescent="0.2">
      <c r="A1432" s="556" t="s">
        <v>716</v>
      </c>
      <c r="B1432" s="557" t="s">
        <v>360</v>
      </c>
      <c r="C1432" s="558">
        <v>7.0000000000000007E-2</v>
      </c>
      <c r="D1432" s="559">
        <f>D1427*C1432</f>
        <v>743962.8</v>
      </c>
      <c r="E1432" s="560"/>
      <c r="F1432" s="561"/>
    </row>
    <row r="1433" spans="1:6" x14ac:dyDescent="0.2">
      <c r="A1433" s="556" t="s">
        <v>718</v>
      </c>
      <c r="B1433" s="557" t="s">
        <v>361</v>
      </c>
      <c r="C1433" s="558">
        <v>0.08</v>
      </c>
      <c r="D1433" s="559">
        <f>C1433*D1427</f>
        <v>850243.20000000007</v>
      </c>
      <c r="E1433" s="560"/>
      <c r="F1433" s="561"/>
    </row>
    <row r="1434" spans="1:6" x14ac:dyDescent="0.2">
      <c r="A1434" s="556" t="s">
        <v>719</v>
      </c>
      <c r="B1434" s="557" t="s">
        <v>364</v>
      </c>
      <c r="C1434" s="558">
        <v>3.5000000000000003E-2</v>
      </c>
      <c r="D1434" s="559">
        <f>C1434*D1427</f>
        <v>371981.4</v>
      </c>
      <c r="E1434" s="560"/>
      <c r="F1434" s="561"/>
    </row>
    <row r="1435" spans="1:6" x14ac:dyDescent="0.2">
      <c r="A1435" s="556" t="s">
        <v>720</v>
      </c>
      <c r="B1435" s="562" t="s">
        <v>366</v>
      </c>
      <c r="C1435" s="563">
        <v>0.04</v>
      </c>
      <c r="D1435" s="564">
        <f>D1427*C1435</f>
        <v>425121.60000000003</v>
      </c>
      <c r="E1435" s="565"/>
      <c r="F1435" s="561"/>
    </row>
    <row r="1436" spans="1:6" x14ac:dyDescent="0.2">
      <c r="A1436" s="556" t="s">
        <v>721</v>
      </c>
      <c r="B1436" s="562" t="s">
        <v>368</v>
      </c>
      <c r="C1436" s="563">
        <v>0.05</v>
      </c>
      <c r="D1436" s="564">
        <f>D1427*C1436</f>
        <v>531402</v>
      </c>
      <c r="E1436" s="560"/>
      <c r="F1436" s="561"/>
    </row>
    <row r="1437" spans="1:6" x14ac:dyDescent="0.2">
      <c r="A1437" s="556" t="s">
        <v>722</v>
      </c>
      <c r="B1437" s="562" t="s">
        <v>601</v>
      </c>
      <c r="C1437" s="563">
        <v>0.04</v>
      </c>
      <c r="D1437" s="564">
        <f>C1437*D1427</f>
        <v>425121.60000000003</v>
      </c>
      <c r="E1437" s="560"/>
      <c r="F1437" s="561"/>
    </row>
    <row r="1438" spans="1:6" x14ac:dyDescent="0.2">
      <c r="A1438" s="556" t="s">
        <v>724</v>
      </c>
      <c r="B1438" s="562" t="s">
        <v>739</v>
      </c>
      <c r="C1438" s="563">
        <v>0.04</v>
      </c>
      <c r="D1438" s="564">
        <f>C1438*D1427</f>
        <v>425121.60000000003</v>
      </c>
      <c r="E1438" s="560"/>
      <c r="F1438" s="561"/>
    </row>
    <row r="1439" spans="1:6" x14ac:dyDescent="0.2">
      <c r="A1439" s="556" t="s">
        <v>726</v>
      </c>
      <c r="B1439" s="562" t="s">
        <v>260</v>
      </c>
      <c r="C1439" s="563">
        <v>2.5000000000000001E-2</v>
      </c>
      <c r="D1439" s="564">
        <f>C1439*D1427</f>
        <v>265701</v>
      </c>
      <c r="E1439" s="560"/>
      <c r="F1439" s="561"/>
    </row>
    <row r="1440" spans="1:6" x14ac:dyDescent="0.2">
      <c r="A1440" s="556" t="s">
        <v>728</v>
      </c>
      <c r="B1440" s="562" t="s">
        <v>272</v>
      </c>
      <c r="C1440" s="563">
        <v>1.4999999999999999E-2</v>
      </c>
      <c r="D1440" s="564">
        <f>C1440*D1427</f>
        <v>159420.6</v>
      </c>
      <c r="E1440" s="560"/>
      <c r="F1440" s="561"/>
    </row>
    <row r="1441" spans="1:10" x14ac:dyDescent="0.2">
      <c r="A1441" s="556" t="s">
        <v>729</v>
      </c>
      <c r="B1441" s="562" t="s">
        <v>273</v>
      </c>
      <c r="C1441" s="563">
        <v>1.4999999999999999E-2</v>
      </c>
      <c r="D1441" s="564">
        <f>C1441*D1427</f>
        <v>159420.6</v>
      </c>
      <c r="E1441" s="565"/>
      <c r="F1441" s="561"/>
    </row>
    <row r="1442" spans="1:10" x14ac:dyDescent="0.2">
      <c r="A1442" s="556" t="s">
        <v>730</v>
      </c>
      <c r="B1442" s="562" t="s">
        <v>261</v>
      </c>
      <c r="C1442" s="563">
        <v>0.03</v>
      </c>
      <c r="D1442" s="564">
        <f>C1442*D1427</f>
        <v>318841.2</v>
      </c>
      <c r="E1442" s="560"/>
      <c r="F1442" s="561"/>
    </row>
    <row r="1443" spans="1:10" x14ac:dyDescent="0.2">
      <c r="A1443" s="556" t="s">
        <v>731</v>
      </c>
      <c r="B1443" s="562" t="s">
        <v>262</v>
      </c>
      <c r="C1443" s="563">
        <v>1.4999999999999999E-2</v>
      </c>
      <c r="D1443" s="564">
        <f>C1443*D1427</f>
        <v>159420.6</v>
      </c>
      <c r="E1443" s="560"/>
      <c r="F1443" s="561"/>
    </row>
    <row r="1444" spans="1:10" x14ac:dyDescent="0.2">
      <c r="A1444" s="556" t="s">
        <v>732</v>
      </c>
      <c r="B1444" s="562" t="s">
        <v>341</v>
      </c>
      <c r="C1444" s="563">
        <v>6.5000000000000002E-2</v>
      </c>
      <c r="D1444" s="564">
        <f>C1444*D1427</f>
        <v>690822.6</v>
      </c>
      <c r="E1444" s="565"/>
      <c r="F1444" s="561"/>
    </row>
    <row r="1445" spans="1:10" ht="30" x14ac:dyDescent="0.2">
      <c r="A1445" s="556" t="s">
        <v>734</v>
      </c>
      <c r="B1445" s="562" t="s">
        <v>100</v>
      </c>
      <c r="C1445" s="563">
        <v>0.05</v>
      </c>
      <c r="D1445" s="564">
        <f>C1445*D1427</f>
        <v>531402</v>
      </c>
      <c r="E1445" s="566"/>
      <c r="F1445" s="560"/>
    </row>
    <row r="1446" spans="1:10" x14ac:dyDescent="0.2">
      <c r="A1446" s="550"/>
      <c r="B1446" s="567" t="s">
        <v>735</v>
      </c>
      <c r="C1446" s="568">
        <f>SUM(C1428:C1445)</f>
        <v>0.7350000000000001</v>
      </c>
      <c r="D1446" s="569">
        <f>SUM(D1428:D1445)</f>
        <v>7811609.3999999985</v>
      </c>
      <c r="E1446" s="570"/>
      <c r="F1446" s="554"/>
    </row>
    <row r="1447" spans="1:10" x14ac:dyDescent="0.2">
      <c r="A1447" s="550"/>
      <c r="B1447" s="567" t="s">
        <v>132</v>
      </c>
      <c r="C1447" s="568">
        <v>0.1</v>
      </c>
      <c r="D1447" s="569">
        <f>C1447*D1427</f>
        <v>1062804</v>
      </c>
      <c r="E1447" s="570"/>
      <c r="F1447" s="554"/>
    </row>
    <row r="1448" spans="1:10" ht="28.5" x14ac:dyDescent="0.2">
      <c r="A1448" s="550"/>
      <c r="B1448" s="567" t="s">
        <v>308</v>
      </c>
      <c r="C1448" s="568">
        <f>D1448/D1418</f>
        <v>0.36609133010413969</v>
      </c>
      <c r="D1448" s="569">
        <f>D1418-D1419-D1421-D1426-D1446-D1447</f>
        <v>7781666.6000000015</v>
      </c>
      <c r="E1448" s="570"/>
      <c r="F1448" s="554"/>
    </row>
    <row r="1449" spans="1:10" ht="28.5" x14ac:dyDescent="0.2">
      <c r="A1449" s="571"/>
      <c r="B1449" s="572" t="s">
        <v>375</v>
      </c>
      <c r="C1449" s="573">
        <f>D1449/D1418</f>
        <v>0.41609133010413968</v>
      </c>
      <c r="D1449" s="574">
        <f>D1448+D1447</f>
        <v>8844470.6000000015</v>
      </c>
      <c r="E1449" s="575"/>
      <c r="F1449" s="575"/>
    </row>
    <row r="1450" spans="1:10" x14ac:dyDescent="0.2">
      <c r="A1450" s="267"/>
      <c r="B1450" s="174" t="s">
        <v>403</v>
      </c>
      <c r="C1450" s="585">
        <v>45957</v>
      </c>
      <c r="D1450" s="177"/>
      <c r="E1450" s="177"/>
      <c r="F1450" s="177"/>
      <c r="G1450" s="1"/>
      <c r="H1450" s="586"/>
      <c r="I1450" s="586"/>
      <c r="J1450" s="587"/>
    </row>
    <row r="1451" spans="1:10" x14ac:dyDescent="0.2">
      <c r="A1451" s="267"/>
      <c r="B1451" s="174" t="s">
        <v>569</v>
      </c>
      <c r="C1451" s="1014" t="s">
        <v>783</v>
      </c>
      <c r="D1451" s="956"/>
      <c r="E1451" s="956"/>
      <c r="F1451" s="957"/>
      <c r="G1451" s="1"/>
      <c r="H1451" s="3"/>
      <c r="I1451" s="3"/>
      <c r="J1451" s="1"/>
    </row>
    <row r="1452" spans="1:10" x14ac:dyDescent="0.2">
      <c r="A1452" s="267"/>
      <c r="B1452" s="174" t="s">
        <v>784</v>
      </c>
      <c r="C1452" s="1014" t="s">
        <v>785</v>
      </c>
      <c r="D1452" s="956"/>
      <c r="E1452" s="956"/>
      <c r="F1452" s="957"/>
      <c r="G1452" s="1"/>
      <c r="H1452" s="3"/>
      <c r="I1452" s="3"/>
      <c r="J1452" s="1"/>
    </row>
    <row r="1453" spans="1:10" ht="206.25" customHeight="1" x14ac:dyDescent="0.2">
      <c r="A1453" s="267"/>
      <c r="B1453" s="174" t="s">
        <v>541</v>
      </c>
      <c r="C1453" s="994" t="s">
        <v>786</v>
      </c>
      <c r="D1453" s="995"/>
      <c r="E1453" s="995"/>
      <c r="F1453" s="996"/>
      <c r="G1453" s="1"/>
      <c r="H1453" s="3"/>
      <c r="I1453" s="3"/>
    </row>
    <row r="1454" spans="1:10" ht="206.25" customHeight="1" x14ac:dyDescent="0.2">
      <c r="A1454" s="267"/>
      <c r="B1454" s="174" t="s">
        <v>404</v>
      </c>
      <c r="C1454" s="952" t="s">
        <v>787</v>
      </c>
      <c r="D1454" s="953"/>
      <c r="E1454" s="953"/>
      <c r="F1454" s="954"/>
      <c r="G1454" s="1"/>
      <c r="H1454" s="3"/>
      <c r="I1454" s="3"/>
    </row>
    <row r="1455" spans="1:10" x14ac:dyDescent="0.2">
      <c r="A1455" s="588"/>
      <c r="B1455" s="459" t="s">
        <v>406</v>
      </c>
      <c r="C1455" s="1045">
        <v>212560.8</v>
      </c>
      <c r="D1455" s="1046"/>
      <c r="E1455" s="1046"/>
      <c r="F1455" s="1047"/>
      <c r="G1455" s="1"/>
      <c r="H1455" s="3"/>
      <c r="I1455" s="3"/>
      <c r="J1455" s="1"/>
    </row>
    <row r="1456" spans="1:10" x14ac:dyDescent="0.2">
      <c r="A1456" s="114"/>
      <c r="B1456" s="21" t="s">
        <v>408</v>
      </c>
      <c r="C1456" s="1053">
        <v>2125608</v>
      </c>
      <c r="D1456" s="944"/>
      <c r="E1456" s="944"/>
      <c r="F1456" s="1054"/>
      <c r="G1456" s="1"/>
      <c r="H1456" s="3"/>
      <c r="I1456" s="3"/>
      <c r="J1456" s="1"/>
    </row>
    <row r="1457" spans="1:10" x14ac:dyDescent="0.2">
      <c r="A1457" s="589"/>
      <c r="B1457" s="590" t="s">
        <v>788</v>
      </c>
      <c r="C1457" s="943" t="s">
        <v>789</v>
      </c>
      <c r="D1457" s="944"/>
      <c r="E1457" s="944"/>
      <c r="F1457" s="945"/>
      <c r="G1457" s="1"/>
      <c r="H1457" s="3"/>
      <c r="I1457" s="3"/>
      <c r="J1457" s="1"/>
    </row>
    <row r="1458" spans="1:10" x14ac:dyDescent="0.2">
      <c r="A1458" s="114"/>
      <c r="B1458" s="591" t="s">
        <v>790</v>
      </c>
      <c r="C1458" s="946" t="s">
        <v>791</v>
      </c>
      <c r="D1458" s="947"/>
      <c r="E1458" s="947"/>
      <c r="F1458" s="948"/>
      <c r="G1458" s="587"/>
      <c r="H1458" s="592"/>
      <c r="I1458" s="592"/>
    </row>
    <row r="1459" spans="1:10" x14ac:dyDescent="0.2">
      <c r="A1459" s="593"/>
      <c r="B1459" s="591" t="s">
        <v>792</v>
      </c>
      <c r="C1459" s="1017" t="s">
        <v>793</v>
      </c>
      <c r="D1459" s="1018"/>
      <c r="E1459" s="1018"/>
      <c r="F1459" s="1019"/>
      <c r="G1459" s="587"/>
      <c r="H1459" s="592"/>
      <c r="I1459" s="592"/>
    </row>
    <row r="1460" spans="1:10" ht="31.5" x14ac:dyDescent="0.2">
      <c r="A1460" s="594"/>
      <c r="B1460" s="595" t="s">
        <v>794</v>
      </c>
      <c r="C1460" s="1041" t="s">
        <v>795</v>
      </c>
      <c r="D1460" s="1042"/>
      <c r="E1460" s="1042"/>
      <c r="F1460" s="1043"/>
      <c r="G1460" s="1"/>
      <c r="H1460" s="3"/>
      <c r="I1460" s="3"/>
    </row>
    <row r="1461" spans="1:10" ht="31.5" x14ac:dyDescent="0.2">
      <c r="A1461" s="114"/>
      <c r="B1461" s="596" t="s">
        <v>796</v>
      </c>
      <c r="C1461" s="958" t="s">
        <v>797</v>
      </c>
      <c r="D1461" s="959"/>
      <c r="E1461" s="959"/>
      <c r="F1461" s="960"/>
      <c r="G1461" s="1"/>
      <c r="H1461" s="3"/>
      <c r="I1461" s="3"/>
    </row>
    <row r="1462" spans="1:10" ht="31.5" x14ac:dyDescent="0.2">
      <c r="A1462" s="593"/>
      <c r="B1462" s="597" t="s">
        <v>798</v>
      </c>
      <c r="C1462" s="896" t="s">
        <v>799</v>
      </c>
      <c r="D1462" s="897"/>
      <c r="E1462" s="897"/>
      <c r="F1462" s="898"/>
      <c r="G1462" s="587"/>
      <c r="H1462" s="592"/>
      <c r="I1462" s="592"/>
    </row>
    <row r="1463" spans="1:10" ht="99" customHeight="1" x14ac:dyDescent="0.2">
      <c r="A1463" s="804" t="s">
        <v>800</v>
      </c>
      <c r="B1463" s="805"/>
      <c r="C1463" s="805"/>
      <c r="D1463" s="805"/>
      <c r="E1463" s="805"/>
      <c r="F1463" s="806"/>
    </row>
    <row r="1464" spans="1:10" x14ac:dyDescent="0.2">
      <c r="A1464" s="173">
        <v>1</v>
      </c>
      <c r="B1464" s="254" t="s">
        <v>352</v>
      </c>
      <c r="C1464" s="175"/>
      <c r="D1464" s="798">
        <v>1400000</v>
      </c>
      <c r="E1464" s="799"/>
      <c r="F1464" s="800"/>
    </row>
    <row r="1465" spans="1:10" ht="29.25" x14ac:dyDescent="0.2">
      <c r="A1465" s="173">
        <v>2</v>
      </c>
      <c r="B1465" s="257" t="s">
        <v>801</v>
      </c>
      <c r="C1465" s="258">
        <v>0.5</v>
      </c>
      <c r="D1465" s="259">
        <f>D1464*C1465</f>
        <v>700000</v>
      </c>
      <c r="E1465" s="177"/>
      <c r="F1465" s="178"/>
    </row>
    <row r="1466" spans="1:10" x14ac:dyDescent="0.2">
      <c r="A1466" s="173">
        <v>3</v>
      </c>
      <c r="B1466" s="260" t="s">
        <v>355</v>
      </c>
      <c r="C1466" s="258">
        <v>7.0000000000000007E-2</v>
      </c>
      <c r="D1466" s="261">
        <f>C1466*D1465</f>
        <v>49000.000000000007</v>
      </c>
      <c r="E1466" s="177"/>
      <c r="F1466" s="178" t="s">
        <v>337</v>
      </c>
    </row>
    <row r="1467" spans="1:10" x14ac:dyDescent="0.2">
      <c r="A1467" s="173">
        <v>4</v>
      </c>
      <c r="B1467" s="260" t="s">
        <v>356</v>
      </c>
      <c r="C1467" s="258">
        <v>0.05</v>
      </c>
      <c r="D1467" s="261">
        <f>D1465*C1467</f>
        <v>35000</v>
      </c>
      <c r="E1467" s="178"/>
      <c r="F1467" s="178" t="s">
        <v>338</v>
      </c>
    </row>
    <row r="1468" spans="1:10" x14ac:dyDescent="0.2">
      <c r="A1468" s="173">
        <v>5</v>
      </c>
      <c r="B1468" s="260" t="s">
        <v>70</v>
      </c>
      <c r="C1468" s="258">
        <v>0.08</v>
      </c>
      <c r="D1468" s="261">
        <f>D1465*C1468</f>
        <v>56000</v>
      </c>
      <c r="E1468" s="177"/>
      <c r="F1468" s="178" t="s">
        <v>131</v>
      </c>
    </row>
    <row r="1469" spans="1:10" x14ac:dyDescent="0.2">
      <c r="A1469" s="173">
        <v>6</v>
      </c>
      <c r="B1469" s="260" t="s">
        <v>236</v>
      </c>
      <c r="C1469" s="258">
        <v>0.22</v>
      </c>
      <c r="D1469" s="261">
        <f>C1469*D1465</f>
        <v>154000</v>
      </c>
      <c r="E1469" s="177"/>
      <c r="F1469" s="178" t="s">
        <v>802</v>
      </c>
    </row>
    <row r="1470" spans="1:10" x14ac:dyDescent="0.2">
      <c r="A1470" s="173">
        <v>7</v>
      </c>
      <c r="B1470" s="260" t="s">
        <v>234</v>
      </c>
      <c r="C1470" s="258">
        <v>0.15</v>
      </c>
      <c r="D1470" s="261">
        <f>C1470*D1465</f>
        <v>105000</v>
      </c>
      <c r="E1470" s="177"/>
      <c r="F1470" s="178" t="s">
        <v>803</v>
      </c>
    </row>
    <row r="1471" spans="1:10" x14ac:dyDescent="0.2">
      <c r="A1471" s="173">
        <v>8</v>
      </c>
      <c r="B1471" s="254" t="s">
        <v>396</v>
      </c>
      <c r="C1471" s="263">
        <v>0.18</v>
      </c>
      <c r="D1471" s="256">
        <f>C1471*D1465</f>
        <v>126000</v>
      </c>
      <c r="E1471" s="177"/>
      <c r="F1471" s="178" t="s">
        <v>804</v>
      </c>
    </row>
    <row r="1472" spans="1:10" x14ac:dyDescent="0.2">
      <c r="A1472" s="173">
        <v>9</v>
      </c>
      <c r="B1472" s="254" t="s">
        <v>397</v>
      </c>
      <c r="C1472" s="263">
        <v>0.03</v>
      </c>
      <c r="D1472" s="256">
        <f>C1472*D1465</f>
        <v>21000</v>
      </c>
      <c r="E1472" s="177"/>
      <c r="F1472" s="178" t="s">
        <v>805</v>
      </c>
    </row>
    <row r="1473" spans="1:10" ht="30" x14ac:dyDescent="0.2">
      <c r="A1473" s="173"/>
      <c r="B1473" s="254" t="s">
        <v>100</v>
      </c>
      <c r="C1473" s="263">
        <v>0.05</v>
      </c>
      <c r="D1473" s="256">
        <f>C1473*D1465</f>
        <v>35000</v>
      </c>
      <c r="E1473" s="187"/>
      <c r="F1473" s="177"/>
    </row>
    <row r="1474" spans="1:10" x14ac:dyDescent="0.2">
      <c r="A1474" s="173"/>
      <c r="B1474" s="264" t="s">
        <v>374</v>
      </c>
      <c r="C1474" s="265">
        <f>SUM(C1466:C1473)</f>
        <v>0.83000000000000007</v>
      </c>
      <c r="D1474" s="266">
        <f>SUM(D1466:D1473)</f>
        <v>581000</v>
      </c>
      <c r="E1474" s="187"/>
      <c r="F1474" s="177"/>
    </row>
    <row r="1475" spans="1:10" x14ac:dyDescent="0.2">
      <c r="A1475" s="173"/>
      <c r="B1475" s="264" t="s">
        <v>132</v>
      </c>
      <c r="C1475" s="265">
        <v>0.1</v>
      </c>
      <c r="D1475" s="256">
        <f>C1475*D1465</f>
        <v>70000</v>
      </c>
      <c r="E1475" s="187"/>
      <c r="F1475" s="177"/>
    </row>
    <row r="1476" spans="1:10" ht="28.5" x14ac:dyDescent="0.2">
      <c r="A1476" s="267"/>
      <c r="B1476" s="264" t="s">
        <v>275</v>
      </c>
      <c r="C1476" s="265">
        <f>D1476/D1464</f>
        <v>0.53500000000000003</v>
      </c>
      <c r="D1476" s="256">
        <f>D1464-D1474-D1475</f>
        <v>749000</v>
      </c>
      <c r="E1476" s="177"/>
      <c r="F1476" s="177"/>
    </row>
    <row r="1477" spans="1:10" ht="28.5" x14ac:dyDescent="0.2">
      <c r="A1477" s="267"/>
      <c r="B1477" s="264" t="s">
        <v>375</v>
      </c>
      <c r="C1477" s="268">
        <f>D1477/D1464</f>
        <v>0.58499999999999996</v>
      </c>
      <c r="D1477" s="269">
        <f>D1476+D1475</f>
        <v>819000</v>
      </c>
      <c r="E1477" s="177"/>
      <c r="F1477" s="177"/>
    </row>
    <row r="1478" spans="1:10" x14ac:dyDescent="0.2">
      <c r="A1478" s="281"/>
      <c r="B1478" s="281"/>
      <c r="C1478" s="281"/>
      <c r="D1478" s="281"/>
      <c r="E1478" s="282"/>
      <c r="F1478" s="281"/>
    </row>
    <row r="1479" spans="1:10" x14ac:dyDescent="0.2">
      <c r="A1479" s="281"/>
      <c r="B1479" s="283" t="s">
        <v>301</v>
      </c>
      <c r="C1479" s="284"/>
      <c r="D1479" s="281"/>
      <c r="E1479" s="282"/>
      <c r="F1479" s="281"/>
    </row>
    <row r="1480" spans="1:10" x14ac:dyDescent="0.2">
      <c r="A1480" s="281"/>
      <c r="B1480" s="281" t="s">
        <v>302</v>
      </c>
      <c r="C1480" s="801"/>
      <c r="D1480" s="801"/>
      <c r="E1480" s="801"/>
      <c r="F1480" s="801"/>
    </row>
    <row r="1481" spans="1:10" x14ac:dyDescent="0.2">
      <c r="A1481" s="281"/>
      <c r="B1481" s="281" t="s">
        <v>303</v>
      </c>
      <c r="C1481" s="801"/>
      <c r="D1481" s="801"/>
      <c r="E1481" s="801"/>
      <c r="F1481" s="801"/>
    </row>
    <row r="1482" spans="1:10" ht="20.25" x14ac:dyDescent="0.2">
      <c r="A1482" s="907" t="s">
        <v>347</v>
      </c>
      <c r="B1482" s="908"/>
      <c r="C1482" s="908"/>
      <c r="D1482" s="908"/>
      <c r="E1482" s="908"/>
      <c r="F1482" s="909"/>
      <c r="G1482" s="250" t="s">
        <v>348</v>
      </c>
      <c r="H1482" s="250" t="s">
        <v>349</v>
      </c>
      <c r="I1482" s="250"/>
      <c r="J1482" s="251" t="s">
        <v>350</v>
      </c>
    </row>
    <row r="1483" spans="1:10" ht="56.25" customHeight="1" x14ac:dyDescent="0.2">
      <c r="A1483" s="804" t="s">
        <v>806</v>
      </c>
      <c r="B1483" s="805"/>
      <c r="C1483" s="805"/>
      <c r="D1483" s="805"/>
      <c r="E1483" s="805"/>
      <c r="F1483" s="806"/>
      <c r="G1483" s="252">
        <v>0.1</v>
      </c>
      <c r="H1483" s="584">
        <f>D1484-D1484*G1483</f>
        <v>27362429.640000001</v>
      </c>
      <c r="I1483" s="584"/>
      <c r="J1483" s="253">
        <f>H1483-(D1485+D1487+D1492+D1519+D1520)</f>
        <v>5136749.1390000023</v>
      </c>
    </row>
    <row r="1484" spans="1:10" ht="18.75" x14ac:dyDescent="0.2">
      <c r="A1484" s="173">
        <v>1</v>
      </c>
      <c r="B1484" s="254"/>
      <c r="C1484" s="175"/>
      <c r="D1484" s="798">
        <v>30402699.600000001</v>
      </c>
      <c r="E1484" s="799"/>
      <c r="F1484" s="934"/>
      <c r="G1484" s="252">
        <v>0.15</v>
      </c>
      <c r="H1484" s="584">
        <f>D1484-D1484*G1484</f>
        <v>25842294.66</v>
      </c>
      <c r="I1484" s="584"/>
      <c r="J1484" s="253">
        <f>H1484-(D1485+D1487+D1492+D1519+D1520)</f>
        <v>3616614.1590000018</v>
      </c>
    </row>
    <row r="1485" spans="1:10" ht="18.75" x14ac:dyDescent="0.2">
      <c r="A1485" s="493">
        <v>2</v>
      </c>
      <c r="B1485" s="494" t="s">
        <v>807</v>
      </c>
      <c r="C1485" s="495"/>
      <c r="D1485" s="496"/>
      <c r="E1485" s="496"/>
      <c r="F1485" s="598"/>
      <c r="G1485" s="252">
        <v>0.2</v>
      </c>
      <c r="H1485" s="584">
        <f>D1484-D1484*G1485</f>
        <v>24322159.68</v>
      </c>
      <c r="I1485" s="584"/>
      <c r="J1485" s="253">
        <f>H1485-(D1485+D1487+D1492+D1519+D1520)</f>
        <v>2096479.1790000014</v>
      </c>
    </row>
    <row r="1486" spans="1:10" ht="18.75" x14ac:dyDescent="0.2">
      <c r="A1486" s="497" t="s">
        <v>613</v>
      </c>
      <c r="B1486" s="498" t="s">
        <v>743</v>
      </c>
      <c r="C1486" s="499"/>
      <c r="D1486" s="500"/>
      <c r="E1486" s="501"/>
      <c r="F1486" s="599" t="s">
        <v>808</v>
      </c>
      <c r="G1486" s="252">
        <v>0.25</v>
      </c>
      <c r="H1486" s="584">
        <f>D1484-D1484*G1486</f>
        <v>22802024.700000003</v>
      </c>
      <c r="I1486" s="584"/>
      <c r="J1486" s="253">
        <f>H1486-(D1485+D1487+D1492+D1519+D1520)</f>
        <v>576344.19900000468</v>
      </c>
    </row>
    <row r="1487" spans="1:10" ht="18.75" x14ac:dyDescent="0.2">
      <c r="A1487" s="502" t="s">
        <v>623</v>
      </c>
      <c r="B1487" s="503" t="s">
        <v>677</v>
      </c>
      <c r="C1487" s="504"/>
      <c r="D1487" s="505">
        <f>SUM(D1488:D1491)</f>
        <v>1800000</v>
      </c>
      <c r="E1487" s="506"/>
      <c r="F1487" s="600"/>
      <c r="G1487" s="252">
        <v>0.3</v>
      </c>
      <c r="H1487" s="584">
        <f>D1484-D1484*G1487</f>
        <v>21281889.719999999</v>
      </c>
      <c r="I1487" s="584"/>
      <c r="J1487" s="253"/>
    </row>
    <row r="1488" spans="1:10" x14ac:dyDescent="0.2">
      <c r="A1488" s="508" t="s">
        <v>678</v>
      </c>
      <c r="B1488" s="509" t="s">
        <v>353</v>
      </c>
      <c r="C1488" s="510"/>
      <c r="D1488" s="511">
        <v>500000</v>
      </c>
      <c r="E1488" s="512"/>
      <c r="F1488" s="513"/>
    </row>
    <row r="1489" spans="1:6" x14ac:dyDescent="0.2">
      <c r="A1489" s="508" t="s">
        <v>680</v>
      </c>
      <c r="B1489" s="509" t="s">
        <v>681</v>
      </c>
      <c r="C1489" s="510"/>
      <c r="D1489" s="511">
        <v>300000</v>
      </c>
      <c r="E1489" s="512"/>
      <c r="F1489" s="513"/>
    </row>
    <row r="1490" spans="1:6" x14ac:dyDescent="0.2">
      <c r="A1490" s="508" t="s">
        <v>682</v>
      </c>
      <c r="B1490" s="509" t="s">
        <v>745</v>
      </c>
      <c r="C1490" s="510"/>
      <c r="D1490" s="511">
        <v>500000</v>
      </c>
      <c r="E1490" s="512"/>
      <c r="F1490" s="513"/>
    </row>
    <row r="1491" spans="1:6" x14ac:dyDescent="0.2">
      <c r="A1491" s="508" t="s">
        <v>684</v>
      </c>
      <c r="B1491" s="509" t="s">
        <v>746</v>
      </c>
      <c r="C1491" s="510"/>
      <c r="D1491" s="511">
        <v>500000</v>
      </c>
      <c r="E1491" s="512"/>
      <c r="F1491" s="513"/>
    </row>
    <row r="1492" spans="1:6" x14ac:dyDescent="0.2">
      <c r="A1492" s="538" t="s">
        <v>625</v>
      </c>
      <c r="B1492" s="539" t="s">
        <v>809</v>
      </c>
      <c r="C1492" s="540"/>
      <c r="D1492" s="577">
        <v>1500000</v>
      </c>
      <c r="E1492" s="542"/>
      <c r="F1492" s="543"/>
    </row>
    <row r="1493" spans="1:6" ht="43.5" x14ac:dyDescent="0.2">
      <c r="A1493" s="550" t="s">
        <v>627</v>
      </c>
      <c r="B1493" s="551" t="s">
        <v>354</v>
      </c>
      <c r="C1493" s="552">
        <v>0.5</v>
      </c>
      <c r="D1493" s="553">
        <f>D1484*C1493</f>
        <v>15201349.800000001</v>
      </c>
      <c r="E1493" s="554"/>
      <c r="F1493" s="555"/>
    </row>
    <row r="1494" spans="1:6" ht="30" x14ac:dyDescent="0.2">
      <c r="A1494" s="556" t="s">
        <v>628</v>
      </c>
      <c r="B1494" s="557" t="s">
        <v>748</v>
      </c>
      <c r="C1494" s="558">
        <v>0.1</v>
      </c>
      <c r="D1494" s="559">
        <f>C1494*D1493</f>
        <v>1520134.9800000002</v>
      </c>
      <c r="E1494" s="560"/>
      <c r="F1494" s="561"/>
    </row>
    <row r="1495" spans="1:6" x14ac:dyDescent="0.2">
      <c r="A1495" s="556" t="s">
        <v>629</v>
      </c>
      <c r="B1495" s="557" t="s">
        <v>355</v>
      </c>
      <c r="C1495" s="558">
        <v>0.05</v>
      </c>
      <c r="D1495" s="559">
        <f>C1495*D1493</f>
        <v>760067.49000000011</v>
      </c>
      <c r="E1495" s="560"/>
      <c r="F1495" s="561"/>
    </row>
    <row r="1496" spans="1:6" x14ac:dyDescent="0.2">
      <c r="A1496" s="556" t="s">
        <v>630</v>
      </c>
      <c r="B1496" s="557" t="s">
        <v>810</v>
      </c>
      <c r="C1496" s="558">
        <v>0.05</v>
      </c>
      <c r="D1496" s="559">
        <f>D1493*C1496</f>
        <v>760067.49000000011</v>
      </c>
      <c r="E1496" s="561"/>
      <c r="F1496" s="561"/>
    </row>
    <row r="1497" spans="1:6" x14ac:dyDescent="0.2">
      <c r="A1497" s="556" t="s">
        <v>632</v>
      </c>
      <c r="B1497" s="557" t="s">
        <v>20</v>
      </c>
      <c r="C1497" s="558">
        <v>2.5000000000000001E-2</v>
      </c>
      <c r="D1497" s="559">
        <f>C1497*D1493</f>
        <v>380033.74500000005</v>
      </c>
      <c r="E1497" s="560"/>
      <c r="F1497" s="561"/>
    </row>
    <row r="1498" spans="1:6" x14ac:dyDescent="0.2">
      <c r="A1498" s="556" t="s">
        <v>634</v>
      </c>
      <c r="B1498" s="557" t="s">
        <v>267</v>
      </c>
      <c r="C1498" s="558">
        <v>7.0000000000000007E-2</v>
      </c>
      <c r="D1498" s="559">
        <f>D1493*C1498</f>
        <v>1064094.4860000003</v>
      </c>
      <c r="E1498" s="560"/>
      <c r="F1498" s="561"/>
    </row>
    <row r="1499" spans="1:6" ht="31.5" x14ac:dyDescent="0.2">
      <c r="A1499" s="556" t="s">
        <v>635</v>
      </c>
      <c r="B1499" s="557" t="s">
        <v>256</v>
      </c>
      <c r="C1499" s="558">
        <v>0.12</v>
      </c>
      <c r="D1499" s="559">
        <f>C1499*D1493</f>
        <v>1824161.976</v>
      </c>
      <c r="E1499" s="560"/>
      <c r="F1499" s="601" t="s">
        <v>811</v>
      </c>
    </row>
    <row r="1500" spans="1:6" x14ac:dyDescent="0.2">
      <c r="A1500" s="556" t="s">
        <v>636</v>
      </c>
      <c r="B1500" s="557" t="s">
        <v>319</v>
      </c>
      <c r="C1500" s="558">
        <v>0.06</v>
      </c>
      <c r="D1500" s="559">
        <f>C1500*D1493</f>
        <v>912080.98800000001</v>
      </c>
      <c r="E1500" s="560"/>
      <c r="F1500" s="561"/>
    </row>
    <row r="1501" spans="1:6" x14ac:dyDescent="0.2">
      <c r="A1501" s="556" t="s">
        <v>637</v>
      </c>
      <c r="B1501" s="562" t="s">
        <v>754</v>
      </c>
      <c r="C1501" s="563">
        <v>6.5000000000000002E-2</v>
      </c>
      <c r="D1501" s="564">
        <f>D1493*C1501</f>
        <v>988087.73700000008</v>
      </c>
      <c r="E1501" s="565"/>
      <c r="F1501" s="561"/>
    </row>
    <row r="1502" spans="1:6" x14ac:dyDescent="0.2">
      <c r="A1502" s="556" t="s">
        <v>638</v>
      </c>
      <c r="B1502" s="562" t="s">
        <v>323</v>
      </c>
      <c r="C1502" s="563">
        <v>7.0000000000000007E-2</v>
      </c>
      <c r="D1502" s="564">
        <f>D1493*C1502</f>
        <v>1064094.4860000003</v>
      </c>
      <c r="E1502" s="560"/>
      <c r="F1502" s="561"/>
    </row>
    <row r="1503" spans="1:6" x14ac:dyDescent="0.2">
      <c r="A1503" s="556" t="s">
        <v>639</v>
      </c>
      <c r="B1503" s="562" t="s">
        <v>642</v>
      </c>
      <c r="C1503" s="563">
        <v>0.05</v>
      </c>
      <c r="D1503" s="564">
        <f>C1503*D1493</f>
        <v>760067.49000000011</v>
      </c>
      <c r="E1503" s="560"/>
      <c r="F1503" s="561"/>
    </row>
    <row r="1504" spans="1:6" x14ac:dyDescent="0.2">
      <c r="A1504" s="556" t="s">
        <v>640</v>
      </c>
      <c r="B1504" s="562" t="s">
        <v>812</v>
      </c>
      <c r="C1504" s="563">
        <v>0.08</v>
      </c>
      <c r="D1504" s="564">
        <f>C1504*D1493</f>
        <v>1216107.9840000002</v>
      </c>
      <c r="E1504" s="560"/>
      <c r="F1504" s="561"/>
    </row>
    <row r="1505" spans="1:6" x14ac:dyDescent="0.2">
      <c r="A1505" s="556" t="s">
        <v>641</v>
      </c>
      <c r="B1505" s="562" t="s">
        <v>259</v>
      </c>
      <c r="C1505" s="563">
        <v>0.03</v>
      </c>
      <c r="D1505" s="564">
        <f>C1505*D1493</f>
        <v>456040.49400000001</v>
      </c>
      <c r="E1505" s="560"/>
      <c r="F1505" s="561"/>
    </row>
    <row r="1506" spans="1:6" x14ac:dyDescent="0.2">
      <c r="A1506" s="556" t="s">
        <v>643</v>
      </c>
      <c r="B1506" s="562" t="s">
        <v>260</v>
      </c>
      <c r="C1506" s="563">
        <v>1.4999999999999999E-2</v>
      </c>
      <c r="D1506" s="564">
        <f>C1506*D1493</f>
        <v>228020.247</v>
      </c>
      <c r="E1506" s="560"/>
      <c r="F1506" s="561"/>
    </row>
    <row r="1507" spans="1:6" ht="31.5" x14ac:dyDescent="0.2">
      <c r="A1507" s="556" t="s">
        <v>644</v>
      </c>
      <c r="B1507" s="562" t="s">
        <v>272</v>
      </c>
      <c r="C1507" s="563">
        <v>0.02</v>
      </c>
      <c r="D1507" s="564">
        <f>C1507*D1493</f>
        <v>304026.99600000004</v>
      </c>
      <c r="E1507" s="560"/>
      <c r="F1507" s="561" t="s">
        <v>813</v>
      </c>
    </row>
    <row r="1508" spans="1:6" x14ac:dyDescent="0.2">
      <c r="A1508" s="556" t="s">
        <v>645</v>
      </c>
      <c r="B1508" s="562" t="s">
        <v>273</v>
      </c>
      <c r="C1508" s="563">
        <v>0.01</v>
      </c>
      <c r="D1508" s="564">
        <f>C1508*D1493</f>
        <v>152013.49800000002</v>
      </c>
      <c r="E1508" s="565"/>
      <c r="F1508" s="561"/>
    </row>
    <row r="1509" spans="1:6" x14ac:dyDescent="0.2">
      <c r="A1509" s="556" t="s">
        <v>646</v>
      </c>
      <c r="B1509" s="562" t="s">
        <v>261</v>
      </c>
      <c r="C1509" s="563">
        <v>0.02</v>
      </c>
      <c r="D1509" s="564">
        <f>C1509*D1493</f>
        <v>304026.99600000004</v>
      </c>
      <c r="E1509" s="560"/>
      <c r="F1509" s="561"/>
    </row>
    <row r="1510" spans="1:6" x14ac:dyDescent="0.2">
      <c r="A1510" s="556" t="s">
        <v>647</v>
      </c>
      <c r="B1510" s="562" t="s">
        <v>262</v>
      </c>
      <c r="C1510" s="563">
        <v>0.01</v>
      </c>
      <c r="D1510" s="564">
        <f>C1510*D1493</f>
        <v>152013.49800000002</v>
      </c>
      <c r="E1510" s="560"/>
      <c r="F1510" s="561"/>
    </row>
    <row r="1511" spans="1:6" x14ac:dyDescent="0.2">
      <c r="A1511" s="556" t="s">
        <v>648</v>
      </c>
      <c r="B1511" s="562" t="s">
        <v>341</v>
      </c>
      <c r="C1511" s="563">
        <v>5.5E-2</v>
      </c>
      <c r="D1511" s="564">
        <f>C1511*D1493</f>
        <v>836074.23900000006</v>
      </c>
      <c r="E1511" s="565"/>
      <c r="F1511" s="561"/>
    </row>
    <row r="1512" spans="1:6" ht="30" x14ac:dyDescent="0.2">
      <c r="A1512" s="556" t="s">
        <v>649</v>
      </c>
      <c r="B1512" s="562" t="s">
        <v>100</v>
      </c>
      <c r="C1512" s="563">
        <v>0.05</v>
      </c>
      <c r="D1512" s="564">
        <f>C1512*D1493</f>
        <v>760067.49000000011</v>
      </c>
      <c r="E1512" s="566"/>
      <c r="F1512" s="560"/>
    </row>
    <row r="1513" spans="1:6" x14ac:dyDescent="0.2">
      <c r="A1513" s="556"/>
      <c r="B1513" s="602" t="s">
        <v>814</v>
      </c>
      <c r="C1513" s="563"/>
      <c r="D1513" s="564"/>
      <c r="E1513" s="566"/>
      <c r="F1513" s="560"/>
    </row>
    <row r="1514" spans="1:6" x14ac:dyDescent="0.2">
      <c r="A1514" s="556" t="s">
        <v>650</v>
      </c>
      <c r="B1514" s="562" t="s">
        <v>532</v>
      </c>
      <c r="C1514" s="563">
        <v>3.5000000000000003E-2</v>
      </c>
      <c r="D1514" s="564">
        <f>C1514*D1493</f>
        <v>532047.24300000013</v>
      </c>
      <c r="E1514" s="566"/>
      <c r="F1514" s="560" t="s">
        <v>815</v>
      </c>
    </row>
    <row r="1515" spans="1:6" x14ac:dyDescent="0.2">
      <c r="A1515" s="556" t="s">
        <v>652</v>
      </c>
      <c r="B1515" s="562" t="s">
        <v>816</v>
      </c>
      <c r="C1515" s="563">
        <v>0.02</v>
      </c>
      <c r="D1515" s="564">
        <f>C1515*D1493</f>
        <v>304026.99600000004</v>
      </c>
      <c r="E1515" s="566"/>
      <c r="F1515" s="560" t="s">
        <v>817</v>
      </c>
    </row>
    <row r="1516" spans="1:6" x14ac:dyDescent="0.2">
      <c r="A1516" s="556" t="s">
        <v>818</v>
      </c>
      <c r="B1516" s="562" t="s">
        <v>819</v>
      </c>
      <c r="C1516" s="563">
        <v>0.02</v>
      </c>
      <c r="D1516" s="564">
        <f>C1516*D1493</f>
        <v>304026.99600000004</v>
      </c>
      <c r="E1516" s="566"/>
      <c r="F1516" s="560" t="s">
        <v>820</v>
      </c>
    </row>
    <row r="1517" spans="1:6" x14ac:dyDescent="0.2">
      <c r="A1517" s="556" t="s">
        <v>821</v>
      </c>
      <c r="B1517" s="562" t="s">
        <v>822</v>
      </c>
      <c r="C1517" s="563">
        <v>0.02</v>
      </c>
      <c r="D1517" s="564">
        <f>C1517*D1493</f>
        <v>304026.99600000004</v>
      </c>
      <c r="E1517" s="566"/>
      <c r="F1517" s="560" t="s">
        <v>823</v>
      </c>
    </row>
    <row r="1518" spans="1:6" x14ac:dyDescent="0.2">
      <c r="A1518" s="556"/>
      <c r="B1518" s="562" t="s">
        <v>824</v>
      </c>
      <c r="C1518" s="563">
        <v>0.1</v>
      </c>
      <c r="D1518" s="564">
        <f>C1518*D1493</f>
        <v>1520134.9800000002</v>
      </c>
      <c r="E1518" s="566"/>
      <c r="F1518" s="560"/>
    </row>
    <row r="1519" spans="1:6" x14ac:dyDescent="0.2">
      <c r="A1519" s="550"/>
      <c r="B1519" s="567" t="s">
        <v>735</v>
      </c>
      <c r="C1519" s="568">
        <f>SUM(C1494:C1512)</f>
        <v>0.95000000000000029</v>
      </c>
      <c r="D1519" s="569">
        <f>SUM(D1494:D1518)</f>
        <v>17405545.520999998</v>
      </c>
      <c r="E1519" s="570"/>
      <c r="F1519" s="554"/>
    </row>
    <row r="1520" spans="1:6" x14ac:dyDescent="0.2">
      <c r="A1520" s="550"/>
      <c r="B1520" s="567" t="s">
        <v>132</v>
      </c>
      <c r="C1520" s="568">
        <v>0.1</v>
      </c>
      <c r="D1520" s="569">
        <f>C1520*D1493</f>
        <v>1520134.9800000002</v>
      </c>
      <c r="E1520" s="570"/>
      <c r="F1520" s="554"/>
    </row>
    <row r="1521" spans="1:10" ht="28.5" x14ac:dyDescent="0.2">
      <c r="A1521" s="550"/>
      <c r="B1521" s="567" t="s">
        <v>308</v>
      </c>
      <c r="C1521" s="568">
        <f>D1521/D1484</f>
        <v>0.26895700732444178</v>
      </c>
      <c r="D1521" s="569">
        <f>D1484-D1485-D1487-D1492-D1519-D1520</f>
        <v>8177019.0990000032</v>
      </c>
      <c r="E1521" s="570"/>
      <c r="F1521" s="554"/>
    </row>
    <row r="1522" spans="1:10" ht="28.5" x14ac:dyDescent="0.2">
      <c r="A1522" s="571"/>
      <c r="B1522" s="572" t="s">
        <v>375</v>
      </c>
      <c r="C1522" s="573">
        <f>D1522/D1484</f>
        <v>0.31895700732444177</v>
      </c>
      <c r="D1522" s="574">
        <f>D1521+D1520</f>
        <v>9697154.0790000036</v>
      </c>
      <c r="E1522" s="575"/>
      <c r="F1522" s="575"/>
    </row>
    <row r="1523" spans="1:10" x14ac:dyDescent="0.2">
      <c r="A1523" s="267"/>
      <c r="B1523" s="174" t="s">
        <v>403</v>
      </c>
      <c r="C1523" s="585">
        <v>46020</v>
      </c>
      <c r="D1523" s="177"/>
      <c r="E1523" s="177"/>
      <c r="F1523" s="177"/>
      <c r="G1523" s="1"/>
      <c r="H1523" s="586"/>
      <c r="I1523" s="586"/>
      <c r="J1523" s="587"/>
    </row>
    <row r="1524" spans="1:10" x14ac:dyDescent="0.2">
      <c r="A1524" s="267"/>
      <c r="B1524" s="174" t="s">
        <v>569</v>
      </c>
      <c r="C1524" s="1014" t="s">
        <v>825</v>
      </c>
      <c r="D1524" s="956"/>
      <c r="E1524" s="956"/>
      <c r="F1524" s="957"/>
      <c r="G1524" s="1"/>
      <c r="H1524" s="3"/>
      <c r="I1524" s="3"/>
      <c r="J1524" s="1"/>
    </row>
    <row r="1525" spans="1:10" x14ac:dyDescent="0.2">
      <c r="A1525" s="267"/>
      <c r="B1525" s="174" t="s">
        <v>784</v>
      </c>
      <c r="C1525" s="1014" t="s">
        <v>826</v>
      </c>
      <c r="D1525" s="956"/>
      <c r="E1525" s="956"/>
      <c r="F1525" s="957"/>
      <c r="G1525" s="1"/>
      <c r="H1525" s="3"/>
      <c r="I1525" s="3"/>
      <c r="J1525" s="1"/>
    </row>
    <row r="1526" spans="1:10" ht="21.75" customHeight="1" x14ac:dyDescent="0.2">
      <c r="A1526" s="267"/>
      <c r="B1526" s="174" t="s">
        <v>541</v>
      </c>
      <c r="C1526" s="994" t="s">
        <v>827</v>
      </c>
      <c r="D1526" s="995"/>
      <c r="E1526" s="995"/>
      <c r="F1526" s="996"/>
      <c r="G1526" s="1"/>
      <c r="H1526" s="3"/>
      <c r="I1526" s="3"/>
    </row>
    <row r="1527" spans="1:10" ht="24.75" customHeight="1" x14ac:dyDescent="0.2">
      <c r="A1527" s="267"/>
      <c r="B1527" s="174" t="s">
        <v>404</v>
      </c>
      <c r="C1527" s="952" t="s">
        <v>828</v>
      </c>
      <c r="D1527" s="953"/>
      <c r="E1527" s="953"/>
      <c r="F1527" s="954"/>
      <c r="G1527" s="1"/>
      <c r="H1527" s="3"/>
      <c r="I1527" s="3"/>
    </row>
    <row r="1528" spans="1:10" x14ac:dyDescent="0.2">
      <c r="A1528" s="588"/>
      <c r="B1528" s="459" t="s">
        <v>406</v>
      </c>
      <c r="C1528" s="1045">
        <v>304027</v>
      </c>
      <c r="D1528" s="1046"/>
      <c r="E1528" s="1046"/>
      <c r="F1528" s="1047"/>
      <c r="G1528" s="1"/>
      <c r="H1528" s="3"/>
      <c r="I1528" s="3"/>
      <c r="J1528" s="1"/>
    </row>
    <row r="1529" spans="1:10" x14ac:dyDescent="0.2">
      <c r="A1529" s="114"/>
      <c r="B1529" s="21" t="s">
        <v>408</v>
      </c>
      <c r="C1529" s="1048">
        <v>0.05</v>
      </c>
      <c r="D1529" s="1049"/>
      <c r="E1529" s="1049"/>
      <c r="F1529" s="1050"/>
      <c r="G1529" s="1"/>
      <c r="H1529" s="3"/>
      <c r="I1529" s="3"/>
      <c r="J1529" s="1"/>
    </row>
    <row r="1530" spans="1:10" x14ac:dyDescent="0.2">
      <c r="A1530" s="589"/>
      <c r="B1530" s="590" t="s">
        <v>788</v>
      </c>
      <c r="C1530" s="1045">
        <v>304027</v>
      </c>
      <c r="D1530" s="1046"/>
      <c r="E1530" s="1046"/>
      <c r="F1530" s="1047"/>
      <c r="G1530" s="1"/>
      <c r="H1530" s="3"/>
      <c r="I1530" s="3"/>
      <c r="J1530" s="1"/>
    </row>
    <row r="1531" spans="1:10" x14ac:dyDescent="0.2">
      <c r="A1531" s="114"/>
      <c r="B1531" s="591" t="s">
        <v>790</v>
      </c>
      <c r="C1531" s="946">
        <v>46492</v>
      </c>
      <c r="D1531" s="947"/>
      <c r="E1531" s="947"/>
      <c r="F1531" s="948"/>
      <c r="G1531" s="587"/>
      <c r="H1531" s="592"/>
      <c r="I1531" s="592"/>
    </row>
    <row r="1532" spans="1:10" x14ac:dyDescent="0.2">
      <c r="A1532" s="593"/>
      <c r="B1532" s="591" t="s">
        <v>792</v>
      </c>
      <c r="C1532" s="1017" t="s">
        <v>829</v>
      </c>
      <c r="D1532" s="1018"/>
      <c r="E1532" s="1018"/>
      <c r="F1532" s="1019"/>
      <c r="G1532" s="587"/>
      <c r="H1532" s="592"/>
      <c r="I1532" s="592"/>
    </row>
    <row r="1533" spans="1:10" ht="171.75" customHeight="1" x14ac:dyDescent="0.2">
      <c r="A1533" s="594"/>
      <c r="B1533" s="595" t="s">
        <v>546</v>
      </c>
      <c r="C1533" s="1041" t="s">
        <v>830</v>
      </c>
      <c r="D1533" s="1042"/>
      <c r="E1533" s="1042"/>
      <c r="F1533" s="1043"/>
      <c r="G1533" s="1"/>
      <c r="H1533" s="3"/>
      <c r="I1533" s="3"/>
    </row>
    <row r="1534" spans="1:10" ht="171.75" customHeight="1" x14ac:dyDescent="0.2">
      <c r="A1534" s="603"/>
      <c r="B1534" s="604" t="s">
        <v>831</v>
      </c>
      <c r="C1534" s="1051" t="s">
        <v>832</v>
      </c>
      <c r="D1534" s="1051"/>
      <c r="E1534" s="1051"/>
      <c r="F1534" s="1052"/>
      <c r="G1534" s="1"/>
      <c r="H1534" s="3"/>
      <c r="I1534" s="3"/>
    </row>
    <row r="1535" spans="1:10" ht="31.5" x14ac:dyDescent="0.2">
      <c r="A1535" s="114"/>
      <c r="B1535" s="596" t="s">
        <v>796</v>
      </c>
      <c r="C1535" s="958"/>
      <c r="D1535" s="959"/>
      <c r="E1535" s="959"/>
      <c r="F1535" s="960"/>
      <c r="G1535" s="1"/>
      <c r="H1535" s="3"/>
      <c r="I1535" s="3"/>
    </row>
    <row r="1536" spans="1:10" ht="31.5" x14ac:dyDescent="0.2">
      <c r="A1536" s="593"/>
      <c r="B1536" s="597" t="s">
        <v>798</v>
      </c>
      <c r="C1536" s="896"/>
      <c r="D1536" s="897"/>
      <c r="E1536" s="897"/>
      <c r="F1536" s="898"/>
      <c r="G1536" s="587"/>
      <c r="H1536" s="592"/>
      <c r="I1536" s="592"/>
    </row>
    <row r="1537" spans="1:10" ht="20.25" x14ac:dyDescent="0.2">
      <c r="A1537" s="907" t="s">
        <v>347</v>
      </c>
      <c r="B1537" s="908"/>
      <c r="C1537" s="908"/>
      <c r="D1537" s="908"/>
      <c r="E1537" s="908"/>
      <c r="F1537" s="909"/>
      <c r="G1537" s="250" t="s">
        <v>348</v>
      </c>
      <c r="H1537" s="250" t="s">
        <v>349</v>
      </c>
      <c r="I1537" s="250"/>
      <c r="J1537" s="251" t="s">
        <v>350</v>
      </c>
    </row>
    <row r="1538" spans="1:10" ht="54.75" customHeight="1" x14ac:dyDescent="0.2">
      <c r="A1538" s="804" t="s">
        <v>833</v>
      </c>
      <c r="B1538" s="805"/>
      <c r="C1538" s="805"/>
      <c r="D1538" s="805"/>
      <c r="E1538" s="805"/>
      <c r="F1538" s="806"/>
      <c r="G1538" s="252">
        <v>0.1</v>
      </c>
      <c r="H1538" s="584">
        <f>D1539-D1539*G1538</f>
        <v>10775949.893999999</v>
      </c>
      <c r="I1538" s="584"/>
      <c r="J1538" s="253">
        <f>H1538-(D1540+D1542+D1547+D1567+D1568)</f>
        <v>1177106.47095</v>
      </c>
    </row>
    <row r="1539" spans="1:10" ht="18.75" x14ac:dyDescent="0.2">
      <c r="A1539" s="173">
        <v>1</v>
      </c>
      <c r="B1539" s="254"/>
      <c r="C1539" s="175"/>
      <c r="D1539" s="798">
        <v>11973277.66</v>
      </c>
      <c r="E1539" s="799"/>
      <c r="F1539" s="934"/>
      <c r="G1539" s="252">
        <v>0.15</v>
      </c>
      <c r="H1539" s="584">
        <f>D1539-D1539*G1539</f>
        <v>10177286.011</v>
      </c>
      <c r="I1539" s="584"/>
      <c r="J1539" s="253">
        <f>H1539-(D1540+D1542+D1547+D1567+D1568)</f>
        <v>578442.58795000054</v>
      </c>
    </row>
    <row r="1540" spans="1:10" ht="18.75" x14ac:dyDescent="0.2">
      <c r="A1540" s="493">
        <v>2</v>
      </c>
      <c r="B1540" s="494" t="s">
        <v>499</v>
      </c>
      <c r="C1540" s="495"/>
      <c r="D1540" s="496">
        <f>SUM(D1541:D1541)</f>
        <v>1500000</v>
      </c>
      <c r="E1540" s="496"/>
      <c r="F1540" s="605"/>
      <c r="G1540" s="252">
        <v>0.2</v>
      </c>
      <c r="H1540" s="584">
        <f>D1539-D1539*G1540</f>
        <v>9578622.1280000005</v>
      </c>
      <c r="I1540" s="584"/>
      <c r="J1540" s="253">
        <f>H1540-(D1540+D1542+D1547+D1567+D1568)</f>
        <v>-20221.295049998909</v>
      </c>
    </row>
    <row r="1541" spans="1:10" ht="18.75" x14ac:dyDescent="0.2">
      <c r="A1541" s="497" t="s">
        <v>613</v>
      </c>
      <c r="B1541" s="498" t="s">
        <v>743</v>
      </c>
      <c r="C1541" s="499"/>
      <c r="D1541" s="500">
        <v>1500000</v>
      </c>
      <c r="E1541" s="501"/>
      <c r="F1541" s="606" t="s">
        <v>676</v>
      </c>
      <c r="G1541" s="252">
        <v>0.25</v>
      </c>
      <c r="H1541" s="584">
        <f>D1539-D1539*G1541</f>
        <v>8979958.245000001</v>
      </c>
      <c r="I1541" s="584"/>
      <c r="J1541" s="253">
        <f>H1541-(D1540+D1542+D1547+D1567+D1568)</f>
        <v>-618885.17804999836</v>
      </c>
    </row>
    <row r="1542" spans="1:10" ht="18.75" x14ac:dyDescent="0.2">
      <c r="A1542" s="502" t="s">
        <v>623</v>
      </c>
      <c r="B1542" s="503" t="s">
        <v>744</v>
      </c>
      <c r="C1542" s="504"/>
      <c r="D1542" s="505">
        <f>SUM(D1543:D1546)</f>
        <v>1600000</v>
      </c>
      <c r="E1542" s="506"/>
      <c r="F1542" s="607"/>
      <c r="G1542" s="252"/>
      <c r="H1542" s="584"/>
      <c r="I1542" s="584"/>
      <c r="J1542" s="253"/>
    </row>
    <row r="1543" spans="1:10" x14ac:dyDescent="0.2">
      <c r="A1543" s="508" t="s">
        <v>678</v>
      </c>
      <c r="B1543" s="509" t="s">
        <v>353</v>
      </c>
      <c r="C1543" s="510"/>
      <c r="D1543" s="511">
        <v>500000</v>
      </c>
      <c r="E1543" s="512"/>
      <c r="F1543" s="513"/>
    </row>
    <row r="1544" spans="1:10" x14ac:dyDescent="0.2">
      <c r="A1544" s="508" t="s">
        <v>680</v>
      </c>
      <c r="B1544" s="509" t="s">
        <v>681</v>
      </c>
      <c r="C1544" s="510"/>
      <c r="D1544" s="511">
        <v>300000</v>
      </c>
      <c r="E1544" s="512"/>
      <c r="F1544" s="513"/>
    </row>
    <row r="1545" spans="1:10" x14ac:dyDescent="0.2">
      <c r="A1545" s="508" t="s">
        <v>682</v>
      </c>
      <c r="B1545" s="509" t="s">
        <v>745</v>
      </c>
      <c r="C1545" s="510"/>
      <c r="D1545" s="511">
        <v>400000</v>
      </c>
      <c r="E1545" s="512"/>
      <c r="F1545" s="513"/>
      <c r="G1545" s="1023" t="s">
        <v>834</v>
      </c>
      <c r="H1545" s="1023"/>
      <c r="I1545" s="1023"/>
      <c r="J1545" s="1023"/>
    </row>
    <row r="1546" spans="1:10" x14ac:dyDescent="0.2">
      <c r="A1546" s="508" t="s">
        <v>684</v>
      </c>
      <c r="B1546" s="509" t="s">
        <v>746</v>
      </c>
      <c r="C1546" s="510"/>
      <c r="D1546" s="511">
        <v>400000</v>
      </c>
      <c r="E1546" s="512"/>
      <c r="F1546" s="513"/>
    </row>
    <row r="1547" spans="1:10" ht="45" x14ac:dyDescent="0.2">
      <c r="A1547" s="538" t="s">
        <v>625</v>
      </c>
      <c r="B1547" s="539" t="s">
        <v>747</v>
      </c>
      <c r="C1547" s="540"/>
      <c r="D1547" s="577">
        <v>1500000</v>
      </c>
      <c r="E1547" s="542"/>
      <c r="F1547" s="543"/>
    </row>
    <row r="1548" spans="1:10" ht="43.5" x14ac:dyDescent="0.2">
      <c r="A1548" s="550" t="s">
        <v>655</v>
      </c>
      <c r="B1548" s="551" t="s">
        <v>354</v>
      </c>
      <c r="C1548" s="552">
        <v>0.5</v>
      </c>
      <c r="D1548" s="553">
        <f>D1539*C1548</f>
        <v>5986638.8300000001</v>
      </c>
      <c r="E1548" s="554"/>
      <c r="F1548" s="555"/>
    </row>
    <row r="1549" spans="1:10" ht="30" x14ac:dyDescent="0.2">
      <c r="A1549" s="556" t="s">
        <v>709</v>
      </c>
      <c r="B1549" s="557" t="s">
        <v>748</v>
      </c>
      <c r="C1549" s="558">
        <v>0.06</v>
      </c>
      <c r="D1549" s="559">
        <f>C1549*D1548</f>
        <v>359198.32980000001</v>
      </c>
      <c r="E1549" s="560"/>
      <c r="F1549" s="561"/>
    </row>
    <row r="1550" spans="1:10" x14ac:dyDescent="0.2">
      <c r="A1550" s="556" t="s">
        <v>711</v>
      </c>
      <c r="B1550" s="557" t="s">
        <v>355</v>
      </c>
      <c r="C1550" s="558">
        <v>0.04</v>
      </c>
      <c r="D1550" s="559">
        <f>C1550*D1548</f>
        <v>239465.55319999999</v>
      </c>
      <c r="E1550" s="560"/>
      <c r="F1550" s="561"/>
    </row>
    <row r="1551" spans="1:10" ht="30" x14ac:dyDescent="0.2">
      <c r="A1551" s="556" t="s">
        <v>713</v>
      </c>
      <c r="B1551" s="557" t="s">
        <v>712</v>
      </c>
      <c r="C1551" s="558">
        <v>0.04</v>
      </c>
      <c r="D1551" s="559">
        <f>D1548*C1551</f>
        <v>239465.55319999999</v>
      </c>
      <c r="E1551" s="561"/>
      <c r="F1551" s="561"/>
    </row>
    <row r="1552" spans="1:10" x14ac:dyDescent="0.2">
      <c r="A1552" s="556" t="s">
        <v>715</v>
      </c>
      <c r="B1552" s="557" t="s">
        <v>290</v>
      </c>
      <c r="C1552" s="558">
        <v>2.5000000000000001E-2</v>
      </c>
      <c r="D1552" s="559">
        <f>C1552*D1548</f>
        <v>149665.97075000001</v>
      </c>
      <c r="E1552" s="560"/>
      <c r="F1552" s="561"/>
    </row>
    <row r="1553" spans="1:6" x14ac:dyDescent="0.2">
      <c r="A1553" s="556" t="s">
        <v>716</v>
      </c>
      <c r="B1553" s="557" t="s">
        <v>360</v>
      </c>
      <c r="C1553" s="558">
        <v>7.0000000000000007E-2</v>
      </c>
      <c r="D1553" s="559">
        <f>D1548*C1553</f>
        <v>419064.71810000006</v>
      </c>
      <c r="E1553" s="560"/>
      <c r="F1553" s="561"/>
    </row>
    <row r="1554" spans="1:6" x14ac:dyDescent="0.2">
      <c r="A1554" s="556" t="s">
        <v>718</v>
      </c>
      <c r="B1554" s="557" t="s">
        <v>361</v>
      </c>
      <c r="C1554" s="558">
        <v>0.08</v>
      </c>
      <c r="D1554" s="559">
        <f>C1554*D1548</f>
        <v>478931.10639999999</v>
      </c>
      <c r="E1554" s="560"/>
      <c r="F1554" s="561"/>
    </row>
    <row r="1555" spans="1:6" x14ac:dyDescent="0.2">
      <c r="A1555" s="556" t="s">
        <v>719</v>
      </c>
      <c r="B1555" s="557" t="s">
        <v>364</v>
      </c>
      <c r="C1555" s="558">
        <v>3.5000000000000003E-2</v>
      </c>
      <c r="D1555" s="559">
        <f>C1555*D1548</f>
        <v>209532.35905000003</v>
      </c>
      <c r="E1555" s="560"/>
      <c r="F1555" s="561"/>
    </row>
    <row r="1556" spans="1:6" x14ac:dyDescent="0.2">
      <c r="A1556" s="556" t="s">
        <v>720</v>
      </c>
      <c r="B1556" s="562" t="s">
        <v>366</v>
      </c>
      <c r="C1556" s="563">
        <v>0.04</v>
      </c>
      <c r="D1556" s="564">
        <f>D1548*C1556</f>
        <v>239465.55319999999</v>
      </c>
      <c r="E1556" s="565"/>
      <c r="F1556" s="561"/>
    </row>
    <row r="1557" spans="1:6" x14ac:dyDescent="0.2">
      <c r="A1557" s="556" t="s">
        <v>721</v>
      </c>
      <c r="B1557" s="562" t="s">
        <v>368</v>
      </c>
      <c r="C1557" s="563">
        <v>0.05</v>
      </c>
      <c r="D1557" s="564">
        <f>D1548*C1557</f>
        <v>299331.94150000002</v>
      </c>
      <c r="E1557" s="560"/>
      <c r="F1557" s="561"/>
    </row>
    <row r="1558" spans="1:6" x14ac:dyDescent="0.2">
      <c r="A1558" s="556" t="s">
        <v>722</v>
      </c>
      <c r="B1558" s="562" t="s">
        <v>601</v>
      </c>
      <c r="C1558" s="563">
        <v>0.04</v>
      </c>
      <c r="D1558" s="564">
        <f>C1558*D1548</f>
        <v>239465.55319999999</v>
      </c>
      <c r="E1558" s="560"/>
      <c r="F1558" s="561"/>
    </row>
    <row r="1559" spans="1:6" x14ac:dyDescent="0.2">
      <c r="A1559" s="556" t="s">
        <v>724</v>
      </c>
      <c r="B1559" s="562" t="s">
        <v>739</v>
      </c>
      <c r="C1559" s="563">
        <v>0.04</v>
      </c>
      <c r="D1559" s="564">
        <f>C1559*D1548</f>
        <v>239465.55319999999</v>
      </c>
      <c r="E1559" s="560"/>
      <c r="F1559" s="561"/>
    </row>
    <row r="1560" spans="1:6" x14ac:dyDescent="0.2">
      <c r="A1560" s="556" t="s">
        <v>726</v>
      </c>
      <c r="B1560" s="562" t="s">
        <v>260</v>
      </c>
      <c r="C1560" s="563">
        <v>2.5000000000000001E-2</v>
      </c>
      <c r="D1560" s="564">
        <f>C1560*D1548</f>
        <v>149665.97075000001</v>
      </c>
      <c r="E1560" s="560"/>
      <c r="F1560" s="561"/>
    </row>
    <row r="1561" spans="1:6" x14ac:dyDescent="0.2">
      <c r="A1561" s="556" t="s">
        <v>728</v>
      </c>
      <c r="B1561" s="562" t="s">
        <v>272</v>
      </c>
      <c r="C1561" s="563">
        <v>1.4999999999999999E-2</v>
      </c>
      <c r="D1561" s="564">
        <f>C1561*D1548</f>
        <v>89799.582450000002</v>
      </c>
      <c r="E1561" s="560"/>
      <c r="F1561" s="561"/>
    </row>
    <row r="1562" spans="1:6" x14ac:dyDescent="0.2">
      <c r="A1562" s="556" t="s">
        <v>729</v>
      </c>
      <c r="B1562" s="562" t="s">
        <v>273</v>
      </c>
      <c r="C1562" s="563">
        <v>1.4999999999999999E-2</v>
      </c>
      <c r="D1562" s="564">
        <f>C1562*D1548</f>
        <v>89799.582450000002</v>
      </c>
      <c r="E1562" s="565"/>
      <c r="F1562" s="561"/>
    </row>
    <row r="1563" spans="1:6" x14ac:dyDescent="0.2">
      <c r="A1563" s="556" t="s">
        <v>730</v>
      </c>
      <c r="B1563" s="562" t="s">
        <v>261</v>
      </c>
      <c r="C1563" s="563">
        <v>0.03</v>
      </c>
      <c r="D1563" s="564">
        <f>C1563*D1548</f>
        <v>179599.1649</v>
      </c>
      <c r="E1563" s="560"/>
      <c r="F1563" s="561"/>
    </row>
    <row r="1564" spans="1:6" x14ac:dyDescent="0.2">
      <c r="A1564" s="556" t="s">
        <v>731</v>
      </c>
      <c r="B1564" s="562" t="s">
        <v>262</v>
      </c>
      <c r="C1564" s="563">
        <v>1.4999999999999999E-2</v>
      </c>
      <c r="D1564" s="564">
        <f>C1564*D1548</f>
        <v>89799.582450000002</v>
      </c>
      <c r="E1564" s="560"/>
      <c r="F1564" s="561"/>
    </row>
    <row r="1565" spans="1:6" x14ac:dyDescent="0.2">
      <c r="A1565" s="556" t="s">
        <v>732</v>
      </c>
      <c r="B1565" s="562" t="s">
        <v>341</v>
      </c>
      <c r="C1565" s="563">
        <v>6.5000000000000002E-2</v>
      </c>
      <c r="D1565" s="564">
        <f>C1565*D1548</f>
        <v>389131.52395</v>
      </c>
      <c r="E1565" s="565"/>
      <c r="F1565" s="561"/>
    </row>
    <row r="1566" spans="1:6" ht="30" x14ac:dyDescent="0.2">
      <c r="A1566" s="556" t="s">
        <v>734</v>
      </c>
      <c r="B1566" s="562" t="s">
        <v>100</v>
      </c>
      <c r="C1566" s="563">
        <v>0.05</v>
      </c>
      <c r="D1566" s="564">
        <f>C1566*D1548</f>
        <v>299331.94150000002</v>
      </c>
      <c r="E1566" s="566"/>
      <c r="F1566" s="560"/>
    </row>
    <row r="1567" spans="1:6" x14ac:dyDescent="0.2">
      <c r="A1567" s="550"/>
      <c r="B1567" s="567" t="s">
        <v>735</v>
      </c>
      <c r="C1567" s="568">
        <f>SUM(C1549:C1566)</f>
        <v>0.7350000000000001</v>
      </c>
      <c r="D1567" s="569">
        <f>SUM(D1549:D1566)</f>
        <v>4400179.54005</v>
      </c>
      <c r="E1567" s="570"/>
      <c r="F1567" s="554"/>
    </row>
    <row r="1568" spans="1:6" x14ac:dyDescent="0.2">
      <c r="A1568" s="550"/>
      <c r="B1568" s="567" t="s">
        <v>132</v>
      </c>
      <c r="C1568" s="568">
        <v>0.1</v>
      </c>
      <c r="D1568" s="569">
        <f>C1568*D1548</f>
        <v>598663.88300000003</v>
      </c>
      <c r="E1568" s="570"/>
      <c r="F1568" s="554"/>
    </row>
    <row r="1569" spans="1:10" ht="28.5" x14ac:dyDescent="0.2">
      <c r="A1569" s="550"/>
      <c r="B1569" s="567" t="s">
        <v>308</v>
      </c>
      <c r="C1569" s="568">
        <f>D1569/D1539</f>
        <v>0.19831113120198035</v>
      </c>
      <c r="D1569" s="569">
        <f>D1539-D1540-D1542-D1547-D1567-D1568</f>
        <v>2374434.2369500003</v>
      </c>
      <c r="E1569" s="570"/>
      <c r="F1569" s="554"/>
    </row>
    <row r="1570" spans="1:10" ht="28.5" x14ac:dyDescent="0.2">
      <c r="A1570" s="571"/>
      <c r="B1570" s="572" t="s">
        <v>375</v>
      </c>
      <c r="C1570" s="573">
        <f>D1570/D1539</f>
        <v>0.24831113120198034</v>
      </c>
      <c r="D1570" s="574">
        <f>D1569+D1568</f>
        <v>2973098.1199500002</v>
      </c>
      <c r="E1570" s="575"/>
      <c r="F1570" s="575"/>
    </row>
    <row r="1571" spans="1:10" x14ac:dyDescent="0.2">
      <c r="A1571" s="267"/>
      <c r="B1571" s="174" t="s">
        <v>403</v>
      </c>
      <c r="C1571" s="585">
        <v>46016</v>
      </c>
      <c r="D1571" s="177"/>
      <c r="E1571" s="177"/>
      <c r="F1571" s="177"/>
      <c r="G1571" s="1"/>
      <c r="H1571" s="586"/>
      <c r="I1571" s="586"/>
      <c r="J1571" s="587"/>
    </row>
    <row r="1572" spans="1:10" x14ac:dyDescent="0.2">
      <c r="A1572" s="267"/>
      <c r="B1572" s="174" t="s">
        <v>569</v>
      </c>
      <c r="C1572" s="1014" t="s">
        <v>835</v>
      </c>
      <c r="D1572" s="956"/>
      <c r="E1572" s="956"/>
      <c r="F1572" s="957"/>
      <c r="G1572" s="1"/>
      <c r="H1572" s="3"/>
      <c r="I1572" s="3"/>
      <c r="J1572" s="1"/>
    </row>
    <row r="1573" spans="1:10" x14ac:dyDescent="0.2">
      <c r="A1573" s="267"/>
      <c r="B1573" s="174" t="s">
        <v>784</v>
      </c>
      <c r="C1573" s="1014" t="s">
        <v>836</v>
      </c>
      <c r="D1573" s="956"/>
      <c r="E1573" s="956"/>
      <c r="F1573" s="957"/>
      <c r="G1573" s="1"/>
      <c r="H1573" s="3"/>
      <c r="I1573" s="3"/>
      <c r="J1573" s="1"/>
    </row>
    <row r="1574" spans="1:10" ht="33" customHeight="1" x14ac:dyDescent="0.2">
      <c r="A1574" s="267"/>
      <c r="B1574" s="174" t="s">
        <v>541</v>
      </c>
      <c r="C1574" s="994" t="s">
        <v>827</v>
      </c>
      <c r="D1574" s="995"/>
      <c r="E1574" s="995"/>
      <c r="F1574" s="996"/>
      <c r="G1574" s="1"/>
      <c r="H1574" s="3"/>
      <c r="I1574" s="3"/>
    </row>
    <row r="1575" spans="1:10" ht="86.25" customHeight="1" x14ac:dyDescent="0.2">
      <c r="A1575" s="267"/>
      <c r="B1575" s="174" t="s">
        <v>404</v>
      </c>
      <c r="C1575" s="952" t="s">
        <v>837</v>
      </c>
      <c r="D1575" s="953"/>
      <c r="E1575" s="953"/>
      <c r="F1575" s="954"/>
      <c r="G1575" s="1"/>
      <c r="H1575" s="3"/>
      <c r="I1575" s="3"/>
    </row>
    <row r="1576" spans="1:10" ht="41.25" customHeight="1" x14ac:dyDescent="0.2">
      <c r="A1576" s="588"/>
      <c r="B1576" s="459" t="s">
        <v>406</v>
      </c>
      <c r="C1576" s="1045"/>
      <c r="D1576" s="1046"/>
      <c r="E1576" s="1046"/>
      <c r="F1576" s="1047"/>
      <c r="G1576" s="1"/>
      <c r="H1576" s="3"/>
      <c r="I1576" s="3"/>
      <c r="J1576" s="1"/>
    </row>
    <row r="1577" spans="1:10" ht="45.75" customHeight="1" x14ac:dyDescent="0.2">
      <c r="A1577" s="114"/>
      <c r="B1577" s="21" t="s">
        <v>408</v>
      </c>
      <c r="C1577" s="940">
        <v>0.1</v>
      </c>
      <c r="D1577" s="941"/>
      <c r="E1577" s="941"/>
      <c r="F1577" s="942"/>
      <c r="G1577" s="1"/>
      <c r="H1577" s="3"/>
      <c r="I1577" s="3"/>
      <c r="J1577" s="1"/>
    </row>
    <row r="1578" spans="1:10" ht="31.5" customHeight="1" x14ac:dyDescent="0.2">
      <c r="A1578" s="589"/>
      <c r="B1578" s="590" t="s">
        <v>788</v>
      </c>
      <c r="C1578" s="999">
        <v>0.01</v>
      </c>
      <c r="D1578" s="944"/>
      <c r="E1578" s="944"/>
      <c r="F1578" s="945"/>
      <c r="G1578" s="1"/>
      <c r="H1578" s="3"/>
      <c r="I1578" s="3"/>
      <c r="J1578" s="1"/>
    </row>
    <row r="1579" spans="1:10" x14ac:dyDescent="0.2">
      <c r="A1579" s="114"/>
      <c r="B1579" s="591" t="s">
        <v>790</v>
      </c>
      <c r="C1579" s="946">
        <v>46356</v>
      </c>
      <c r="D1579" s="947"/>
      <c r="E1579" s="947"/>
      <c r="F1579" s="948"/>
      <c r="G1579" s="587"/>
      <c r="H1579" s="592"/>
      <c r="I1579" s="592"/>
    </row>
    <row r="1580" spans="1:10" x14ac:dyDescent="0.2">
      <c r="A1580" s="593"/>
      <c r="B1580" s="591" t="s">
        <v>792</v>
      </c>
      <c r="C1580" s="1017" t="s">
        <v>829</v>
      </c>
      <c r="D1580" s="1018"/>
      <c r="E1580" s="1018"/>
      <c r="F1580" s="1019"/>
      <c r="G1580" s="587"/>
      <c r="H1580" s="592"/>
      <c r="I1580" s="592"/>
    </row>
    <row r="1581" spans="1:10" ht="31.5" x14ac:dyDescent="0.2">
      <c r="A1581" s="594"/>
      <c r="B1581" s="595" t="s">
        <v>794</v>
      </c>
      <c r="C1581" s="1041"/>
      <c r="D1581" s="1042"/>
      <c r="E1581" s="1042"/>
      <c r="F1581" s="1043"/>
      <c r="G1581" s="1"/>
      <c r="H1581" s="3"/>
      <c r="I1581" s="3"/>
    </row>
    <row r="1582" spans="1:10" ht="31.5" x14ac:dyDescent="0.2">
      <c r="A1582" s="114"/>
      <c r="B1582" s="596" t="s">
        <v>796</v>
      </c>
      <c r="C1582" s="952" t="s">
        <v>838</v>
      </c>
      <c r="D1582" s="953"/>
      <c r="E1582" s="953"/>
      <c r="F1582" s="954"/>
      <c r="G1582" s="1"/>
      <c r="H1582" s="3"/>
      <c r="I1582" s="3"/>
    </row>
    <row r="1583" spans="1:10" ht="31.5" x14ac:dyDescent="0.2">
      <c r="A1583" s="593"/>
      <c r="B1583" s="597" t="s">
        <v>798</v>
      </c>
      <c r="C1583" s="896" t="s">
        <v>839</v>
      </c>
      <c r="D1583" s="897"/>
      <c r="E1583" s="897"/>
      <c r="F1583" s="898"/>
      <c r="G1583" s="587"/>
      <c r="H1583" s="592"/>
      <c r="I1583" s="592"/>
    </row>
    <row r="1584" spans="1:10" ht="81" customHeight="1" x14ac:dyDescent="0.2">
      <c r="A1584" s="804" t="s">
        <v>840</v>
      </c>
      <c r="B1584" s="805"/>
      <c r="C1584" s="805"/>
      <c r="D1584" s="805"/>
      <c r="E1584" s="805"/>
      <c r="F1584" s="806"/>
    </row>
    <row r="1585" spans="1:7" x14ac:dyDescent="0.2">
      <c r="A1585" s="173">
        <v>1</v>
      </c>
      <c r="B1585" s="254" t="s">
        <v>352</v>
      </c>
      <c r="C1585" s="175"/>
      <c r="D1585" s="798">
        <v>30450000</v>
      </c>
      <c r="E1585" s="799"/>
      <c r="F1585" s="800"/>
    </row>
    <row r="1586" spans="1:7" x14ac:dyDescent="0.2">
      <c r="A1586" s="173">
        <v>2</v>
      </c>
      <c r="B1586" s="254" t="s">
        <v>841</v>
      </c>
      <c r="C1586" s="609"/>
      <c r="D1586" s="192">
        <v>100000</v>
      </c>
      <c r="E1586" s="610"/>
      <c r="F1586" s="609"/>
    </row>
    <row r="1587" spans="1:7" x14ac:dyDescent="0.2">
      <c r="A1587" s="493" t="s">
        <v>623</v>
      </c>
      <c r="B1587" s="494" t="s">
        <v>842</v>
      </c>
      <c r="C1587" s="495"/>
      <c r="D1587" s="496">
        <f>SUM(D1588:D1591)</f>
        <v>1150000</v>
      </c>
      <c r="E1587" s="496"/>
      <c r="F1587" s="496"/>
    </row>
    <row r="1588" spans="1:7" x14ac:dyDescent="0.2">
      <c r="A1588" s="497" t="s">
        <v>678</v>
      </c>
      <c r="B1588" s="611" t="s">
        <v>688</v>
      </c>
      <c r="C1588" s="611"/>
      <c r="D1588" s="612">
        <v>200000</v>
      </c>
      <c r="E1588" s="501"/>
      <c r="F1588" s="419" t="s">
        <v>843</v>
      </c>
    </row>
    <row r="1589" spans="1:7" x14ac:dyDescent="0.2">
      <c r="A1589" s="497" t="s">
        <v>680</v>
      </c>
      <c r="B1589" s="611" t="s">
        <v>690</v>
      </c>
      <c r="C1589" s="611"/>
      <c r="D1589" s="612">
        <v>200000</v>
      </c>
      <c r="E1589" s="501"/>
      <c r="F1589" s="419" t="s">
        <v>843</v>
      </c>
    </row>
    <row r="1590" spans="1:7" x14ac:dyDescent="0.2">
      <c r="A1590" s="497" t="s">
        <v>738</v>
      </c>
      <c r="B1590" s="611" t="s">
        <v>692</v>
      </c>
      <c r="C1590" s="611"/>
      <c r="D1590" s="612">
        <v>250000</v>
      </c>
      <c r="E1590" s="501"/>
      <c r="F1590" s="419" t="s">
        <v>843</v>
      </c>
    </row>
    <row r="1591" spans="1:7" ht="31.5" x14ac:dyDescent="0.2">
      <c r="A1591" s="497" t="s">
        <v>684</v>
      </c>
      <c r="B1591" s="611" t="s">
        <v>844</v>
      </c>
      <c r="C1591" s="611"/>
      <c r="D1591" s="612">
        <v>500000</v>
      </c>
      <c r="E1591" s="501"/>
      <c r="F1591" s="419" t="s">
        <v>845</v>
      </c>
    </row>
    <row r="1592" spans="1:7" x14ac:dyDescent="0.2">
      <c r="A1592" s="502" t="s">
        <v>625</v>
      </c>
      <c r="B1592" s="503" t="s">
        <v>846</v>
      </c>
      <c r="C1592" s="504"/>
      <c r="D1592" s="505">
        <f>SUM(D1593:D1605)</f>
        <v>7515000</v>
      </c>
      <c r="E1592" s="506"/>
      <c r="F1592" s="507"/>
    </row>
    <row r="1593" spans="1:7" x14ac:dyDescent="0.2">
      <c r="A1593" s="1009" t="s">
        <v>687</v>
      </c>
      <c r="B1593" s="509" t="s">
        <v>694</v>
      </c>
      <c r="C1593" s="510"/>
      <c r="D1593" s="511">
        <v>300000</v>
      </c>
      <c r="E1593" s="512"/>
      <c r="F1593" s="513" t="s">
        <v>847</v>
      </c>
    </row>
    <row r="1594" spans="1:7" x14ac:dyDescent="0.2">
      <c r="A1594" s="1010"/>
      <c r="B1594" s="509" t="s">
        <v>696</v>
      </c>
      <c r="C1594" s="510"/>
      <c r="D1594" s="511">
        <v>5000</v>
      </c>
      <c r="E1594" s="512"/>
      <c r="F1594" s="513"/>
    </row>
    <row r="1595" spans="1:7" x14ac:dyDescent="0.2">
      <c r="A1595" s="1009" t="s">
        <v>689</v>
      </c>
      <c r="B1595" s="509" t="s">
        <v>561</v>
      </c>
      <c r="C1595" s="510"/>
      <c r="D1595" s="511">
        <v>1000000</v>
      </c>
      <c r="E1595" s="512"/>
      <c r="F1595" s="513" t="s">
        <v>717</v>
      </c>
    </row>
    <row r="1596" spans="1:7" x14ac:dyDescent="0.2">
      <c r="A1596" s="1010"/>
      <c r="B1596" s="509" t="s">
        <v>697</v>
      </c>
      <c r="C1596" s="510"/>
      <c r="D1596" s="511">
        <v>250000</v>
      </c>
      <c r="E1596" s="512"/>
      <c r="F1596" s="513" t="s">
        <v>698</v>
      </c>
    </row>
    <row r="1597" spans="1:7" x14ac:dyDescent="0.2">
      <c r="A1597" s="1044" t="s">
        <v>691</v>
      </c>
      <c r="B1597" s="509" t="s">
        <v>848</v>
      </c>
      <c r="C1597" s="510"/>
      <c r="D1597" s="614">
        <v>1400000</v>
      </c>
      <c r="E1597" s="512"/>
      <c r="F1597" s="513" t="s">
        <v>849</v>
      </c>
      <c r="G1597" s="615"/>
    </row>
    <row r="1598" spans="1:7" ht="31.5" x14ac:dyDescent="0.2">
      <c r="A1598" s="1044"/>
      <c r="B1598" s="509" t="s">
        <v>850</v>
      </c>
      <c r="C1598" s="510"/>
      <c r="D1598" s="614">
        <v>1000000</v>
      </c>
      <c r="E1598" s="512"/>
      <c r="F1598" s="513" t="s">
        <v>851</v>
      </c>
      <c r="G1598" s="615"/>
    </row>
    <row r="1599" spans="1:7" x14ac:dyDescent="0.2">
      <c r="A1599" s="508" t="s">
        <v>702</v>
      </c>
      <c r="B1599" s="509" t="s">
        <v>703</v>
      </c>
      <c r="C1599" s="510"/>
      <c r="D1599" s="614">
        <v>1200000</v>
      </c>
      <c r="E1599" s="512"/>
      <c r="F1599" s="513" t="s">
        <v>852</v>
      </c>
      <c r="G1599" s="299"/>
    </row>
    <row r="1600" spans="1:7" x14ac:dyDescent="0.2">
      <c r="A1600" s="508" t="s">
        <v>704</v>
      </c>
      <c r="B1600" s="509" t="s">
        <v>681</v>
      </c>
      <c r="C1600" s="510"/>
      <c r="D1600" s="511">
        <v>150000</v>
      </c>
      <c r="E1600" s="512"/>
      <c r="F1600" s="513"/>
      <c r="G1600" s="615"/>
    </row>
    <row r="1601" spans="1:6" x14ac:dyDescent="0.2">
      <c r="A1601" s="508" t="s">
        <v>751</v>
      </c>
      <c r="B1601" s="509" t="s">
        <v>353</v>
      </c>
      <c r="C1601" s="510"/>
      <c r="D1601" s="614">
        <v>1200000</v>
      </c>
      <c r="E1601" s="512"/>
      <c r="F1601" s="513" t="s">
        <v>853</v>
      </c>
    </row>
    <row r="1602" spans="1:6" x14ac:dyDescent="0.2">
      <c r="A1602" s="508" t="s">
        <v>752</v>
      </c>
      <c r="B1602" s="509" t="s">
        <v>745</v>
      </c>
      <c r="C1602" s="510"/>
      <c r="D1602" s="511">
        <v>250000</v>
      </c>
      <c r="E1602" s="512"/>
      <c r="F1602" s="513"/>
    </row>
    <row r="1603" spans="1:6" x14ac:dyDescent="0.2">
      <c r="A1603" s="508" t="s">
        <v>753</v>
      </c>
      <c r="B1603" s="509" t="s">
        <v>746</v>
      </c>
      <c r="C1603" s="510"/>
      <c r="D1603" s="511">
        <v>200000</v>
      </c>
      <c r="E1603" s="512"/>
      <c r="F1603" s="513"/>
    </row>
    <row r="1604" spans="1:6" x14ac:dyDescent="0.2">
      <c r="A1604" s="508" t="s">
        <v>755</v>
      </c>
      <c r="B1604" s="509" t="s">
        <v>854</v>
      </c>
      <c r="C1604" s="510"/>
      <c r="D1604" s="511">
        <v>200000</v>
      </c>
      <c r="E1604" s="512"/>
      <c r="F1604" s="513"/>
    </row>
    <row r="1605" spans="1:6" x14ac:dyDescent="0.2">
      <c r="A1605" s="508" t="s">
        <v>756</v>
      </c>
      <c r="B1605" s="509" t="s">
        <v>705</v>
      </c>
      <c r="C1605" s="510"/>
      <c r="D1605" s="511">
        <v>360000</v>
      </c>
      <c r="E1605" s="512"/>
      <c r="F1605" s="513" t="s">
        <v>843</v>
      </c>
    </row>
    <row r="1606" spans="1:6" x14ac:dyDescent="0.2">
      <c r="A1606" s="508" t="s">
        <v>757</v>
      </c>
      <c r="B1606" s="509" t="s">
        <v>775</v>
      </c>
      <c r="C1606" s="510"/>
      <c r="D1606" s="511">
        <v>950000</v>
      </c>
      <c r="E1606" s="512"/>
      <c r="F1606" s="513" t="s">
        <v>843</v>
      </c>
    </row>
    <row r="1607" spans="1:6" x14ac:dyDescent="0.2">
      <c r="A1607" s="538" t="s">
        <v>627</v>
      </c>
      <c r="B1607" s="539" t="s">
        <v>706</v>
      </c>
      <c r="C1607" s="540"/>
      <c r="D1607" s="541">
        <f>SUM(D1608:D1610)</f>
        <v>2000000</v>
      </c>
      <c r="E1607" s="542"/>
      <c r="F1607" s="543"/>
    </row>
    <row r="1608" spans="1:6" x14ac:dyDescent="0.2">
      <c r="A1608" s="544" t="s">
        <v>628</v>
      </c>
      <c r="B1608" s="545" t="s">
        <v>707</v>
      </c>
      <c r="C1608" s="546"/>
      <c r="D1608" s="547">
        <v>500000</v>
      </c>
      <c r="E1608" s="548"/>
      <c r="F1608" s="549" t="s">
        <v>113</v>
      </c>
    </row>
    <row r="1609" spans="1:6" x14ac:dyDescent="0.2">
      <c r="A1609" s="544" t="s">
        <v>629</v>
      </c>
      <c r="B1609" s="545" t="s">
        <v>563</v>
      </c>
      <c r="C1609" s="546"/>
      <c r="D1609" s="547">
        <v>700000</v>
      </c>
      <c r="E1609" s="548"/>
      <c r="F1609" s="549" t="s">
        <v>708</v>
      </c>
    </row>
    <row r="1610" spans="1:6" x14ac:dyDescent="0.2">
      <c r="A1610" s="544" t="s">
        <v>630</v>
      </c>
      <c r="B1610" s="545" t="s">
        <v>564</v>
      </c>
      <c r="C1610" s="546"/>
      <c r="D1610" s="547">
        <v>800000</v>
      </c>
      <c r="E1610" s="548"/>
      <c r="F1610" s="549" t="s">
        <v>124</v>
      </c>
    </row>
    <row r="1611" spans="1:6" ht="43.5" x14ac:dyDescent="0.2">
      <c r="A1611" s="550" t="s">
        <v>655</v>
      </c>
      <c r="B1611" s="551" t="s">
        <v>354</v>
      </c>
      <c r="C1611" s="552">
        <v>0.5</v>
      </c>
      <c r="D1611" s="553">
        <f>D1585*C1611</f>
        <v>15225000</v>
      </c>
      <c r="E1611" s="554"/>
      <c r="F1611" s="555"/>
    </row>
    <row r="1612" spans="1:6" x14ac:dyDescent="0.2">
      <c r="A1612" s="556" t="s">
        <v>709</v>
      </c>
      <c r="B1612" s="616" t="s">
        <v>855</v>
      </c>
      <c r="C1612" s="558">
        <v>0.12</v>
      </c>
      <c r="D1612" s="559">
        <f>C1612*D1611</f>
        <v>1827000</v>
      </c>
      <c r="E1612" s="560"/>
      <c r="F1612" s="561" t="s">
        <v>856</v>
      </c>
    </row>
    <row r="1613" spans="1:6" ht="30" x14ac:dyDescent="0.2">
      <c r="A1613" s="556" t="s">
        <v>711</v>
      </c>
      <c r="B1613" s="557" t="s">
        <v>712</v>
      </c>
      <c r="C1613" s="558">
        <v>0.08</v>
      </c>
      <c r="D1613" s="559">
        <f>D1611*C1613</f>
        <v>1218000</v>
      </c>
      <c r="E1613" s="561"/>
      <c r="F1613" s="561"/>
    </row>
    <row r="1614" spans="1:6" x14ac:dyDescent="0.2">
      <c r="A1614" s="556" t="s">
        <v>713</v>
      </c>
      <c r="B1614" s="557" t="s">
        <v>355</v>
      </c>
      <c r="C1614" s="558">
        <v>0.05</v>
      </c>
      <c r="D1614" s="559">
        <f>D1611*C1614</f>
        <v>761250</v>
      </c>
      <c r="E1614" s="561"/>
      <c r="F1614" s="561"/>
    </row>
    <row r="1615" spans="1:6" x14ac:dyDescent="0.2">
      <c r="A1615" s="556" t="s">
        <v>715</v>
      </c>
      <c r="B1615" s="557" t="s">
        <v>290</v>
      </c>
      <c r="C1615" s="558">
        <v>0.02</v>
      </c>
      <c r="D1615" s="559">
        <f>C1615*D1611</f>
        <v>304500</v>
      </c>
      <c r="E1615" s="560"/>
      <c r="F1615" s="561" t="s">
        <v>124</v>
      </c>
    </row>
    <row r="1616" spans="1:6" x14ac:dyDescent="0.2">
      <c r="A1616" s="556" t="s">
        <v>716</v>
      </c>
      <c r="B1616" s="557" t="s">
        <v>360</v>
      </c>
      <c r="C1616" s="558">
        <v>0.05</v>
      </c>
      <c r="D1616" s="559">
        <f>D1611*C1616</f>
        <v>761250</v>
      </c>
      <c r="E1616" s="560"/>
      <c r="F1616" s="561" t="s">
        <v>717</v>
      </c>
    </row>
    <row r="1617" spans="1:7" x14ac:dyDescent="0.2">
      <c r="A1617" s="556" t="s">
        <v>718</v>
      </c>
      <c r="B1617" s="557" t="s">
        <v>361</v>
      </c>
      <c r="C1617" s="558">
        <v>0.06</v>
      </c>
      <c r="D1617" s="559">
        <f>C1617*D1611</f>
        <v>913500</v>
      </c>
      <c r="E1617" s="560"/>
      <c r="F1617" s="561" t="s">
        <v>857</v>
      </c>
    </row>
    <row r="1618" spans="1:7" x14ac:dyDescent="0.2">
      <c r="A1618" s="556" t="s">
        <v>719</v>
      </c>
      <c r="B1618" s="557" t="s">
        <v>364</v>
      </c>
      <c r="C1618" s="558">
        <v>0.03</v>
      </c>
      <c r="D1618" s="559">
        <f>C1618*D1611</f>
        <v>456750</v>
      </c>
      <c r="E1618" s="560"/>
      <c r="F1618" s="561"/>
    </row>
    <row r="1619" spans="1:7" x14ac:dyDescent="0.2">
      <c r="A1619" s="556" t="s">
        <v>720</v>
      </c>
      <c r="B1619" s="562" t="s">
        <v>366</v>
      </c>
      <c r="C1619" s="563">
        <v>0.04</v>
      </c>
      <c r="D1619" s="564">
        <f>D1611*C1619</f>
        <v>609000</v>
      </c>
      <c r="E1619" s="565"/>
      <c r="F1619" s="561"/>
    </row>
    <row r="1620" spans="1:7" x14ac:dyDescent="0.2">
      <c r="A1620" s="556" t="s">
        <v>721</v>
      </c>
      <c r="B1620" s="562" t="s">
        <v>368</v>
      </c>
      <c r="C1620" s="563">
        <v>0.05</v>
      </c>
      <c r="D1620" s="564">
        <f>D1611*C1620</f>
        <v>761250</v>
      </c>
      <c r="E1620" s="560"/>
      <c r="F1620" s="561"/>
    </row>
    <row r="1621" spans="1:7" x14ac:dyDescent="0.2">
      <c r="A1621" s="556" t="s">
        <v>722</v>
      </c>
      <c r="B1621" s="562" t="s">
        <v>723</v>
      </c>
      <c r="C1621" s="563">
        <v>0.03</v>
      </c>
      <c r="D1621" s="564">
        <f>C1621*D1611</f>
        <v>456750</v>
      </c>
      <c r="E1621" s="560"/>
      <c r="F1621" s="561" t="s">
        <v>370</v>
      </c>
    </row>
    <row r="1622" spans="1:7" x14ac:dyDescent="0.2">
      <c r="A1622" s="556" t="s">
        <v>724</v>
      </c>
      <c r="B1622" s="562" t="s">
        <v>725</v>
      </c>
      <c r="C1622" s="563">
        <v>0.04</v>
      </c>
      <c r="D1622" s="564">
        <f>C1622*D1611</f>
        <v>609000</v>
      </c>
      <c r="E1622" s="560"/>
      <c r="F1622" s="561"/>
    </row>
    <row r="1623" spans="1:7" x14ac:dyDescent="0.2">
      <c r="A1623" s="556" t="s">
        <v>726</v>
      </c>
      <c r="B1623" s="562" t="s">
        <v>299</v>
      </c>
      <c r="C1623" s="563">
        <v>2.5000000000000001E-2</v>
      </c>
      <c r="D1623" s="564">
        <f>C1623*D1611</f>
        <v>380625</v>
      </c>
      <c r="E1623" s="560"/>
      <c r="F1623" s="561" t="s">
        <v>727</v>
      </c>
    </row>
    <row r="1624" spans="1:7" x14ac:dyDescent="0.2">
      <c r="A1624" s="556" t="s">
        <v>728</v>
      </c>
      <c r="B1624" s="562" t="s">
        <v>272</v>
      </c>
      <c r="C1624" s="563">
        <v>1.4999999999999999E-2</v>
      </c>
      <c r="D1624" s="564">
        <f>C1624*D1611</f>
        <v>228375</v>
      </c>
      <c r="E1624" s="560"/>
      <c r="F1624" s="561"/>
    </row>
    <row r="1625" spans="1:7" x14ac:dyDescent="0.2">
      <c r="A1625" s="556" t="s">
        <v>729</v>
      </c>
      <c r="B1625" s="562" t="s">
        <v>273</v>
      </c>
      <c r="C1625" s="563">
        <v>1.4999999999999999E-2</v>
      </c>
      <c r="D1625" s="564">
        <f>C1625*D1611</f>
        <v>228375</v>
      </c>
      <c r="E1625" s="565"/>
      <c r="F1625" s="561"/>
    </row>
    <row r="1626" spans="1:7" x14ac:dyDescent="0.2">
      <c r="A1626" s="556" t="s">
        <v>730</v>
      </c>
      <c r="B1626" s="562" t="s">
        <v>261</v>
      </c>
      <c r="C1626" s="563">
        <v>0.03</v>
      </c>
      <c r="D1626" s="564">
        <f>C1626*D1611</f>
        <v>456750</v>
      </c>
      <c r="E1626" s="560"/>
      <c r="F1626" s="561" t="s">
        <v>373</v>
      </c>
    </row>
    <row r="1627" spans="1:7" x14ac:dyDescent="0.2">
      <c r="A1627" s="556" t="s">
        <v>731</v>
      </c>
      <c r="B1627" s="562" t="s">
        <v>262</v>
      </c>
      <c r="C1627" s="563">
        <v>1.4999999999999999E-2</v>
      </c>
      <c r="D1627" s="564">
        <f>C1627*D1611</f>
        <v>228375</v>
      </c>
      <c r="E1627" s="560"/>
      <c r="F1627" s="561"/>
    </row>
    <row r="1628" spans="1:7" x14ac:dyDescent="0.2">
      <c r="A1628" s="556" t="s">
        <v>732</v>
      </c>
      <c r="B1628" s="562" t="s">
        <v>341</v>
      </c>
      <c r="C1628" s="563">
        <v>0.04</v>
      </c>
      <c r="D1628" s="564">
        <f>C1628*D1611</f>
        <v>609000</v>
      </c>
      <c r="E1628" s="565"/>
      <c r="F1628" s="561" t="s">
        <v>733</v>
      </c>
    </row>
    <row r="1629" spans="1:7" x14ac:dyDescent="0.2">
      <c r="A1629" s="556" t="s">
        <v>734</v>
      </c>
      <c r="B1629" s="562" t="s">
        <v>432</v>
      </c>
      <c r="C1629" s="563">
        <v>4.4999999999999998E-2</v>
      </c>
      <c r="D1629" s="564">
        <f>C1629*D1611</f>
        <v>685125</v>
      </c>
      <c r="E1629" s="565"/>
      <c r="F1629" s="561"/>
    </row>
    <row r="1630" spans="1:7" x14ac:dyDescent="0.2">
      <c r="A1630" s="556" t="s">
        <v>777</v>
      </c>
      <c r="B1630" s="562" t="s">
        <v>685</v>
      </c>
      <c r="C1630" s="563">
        <v>3.5000000000000003E-2</v>
      </c>
      <c r="D1630" s="564">
        <f>C1630*D1611</f>
        <v>532875</v>
      </c>
      <c r="E1630" s="565"/>
      <c r="F1630" s="561"/>
    </row>
    <row r="1631" spans="1:7" ht="30" x14ac:dyDescent="0.2">
      <c r="A1631" s="556" t="s">
        <v>858</v>
      </c>
      <c r="B1631" s="562" t="s">
        <v>100</v>
      </c>
      <c r="C1631" s="563">
        <v>0.05</v>
      </c>
      <c r="D1631" s="564">
        <f>C1631*D1611</f>
        <v>761250</v>
      </c>
      <c r="E1631" s="566"/>
      <c r="F1631" s="560"/>
      <c r="G1631" s="615"/>
    </row>
    <row r="1632" spans="1:7" x14ac:dyDescent="0.2">
      <c r="A1632" s="525">
        <v>7</v>
      </c>
      <c r="B1632" s="617" t="s">
        <v>859</v>
      </c>
      <c r="C1632" s="527"/>
      <c r="D1632" s="528">
        <f>SUM(D1633:D1634)</f>
        <v>3200000</v>
      </c>
      <c r="E1632" s="529"/>
      <c r="F1632" s="530"/>
    </row>
    <row r="1633" spans="1:10" x14ac:dyDescent="0.2">
      <c r="A1633" s="531" t="s">
        <v>860</v>
      </c>
      <c r="B1633" s="532" t="s">
        <v>861</v>
      </c>
      <c r="C1633" s="533"/>
      <c r="D1633" s="534">
        <v>1700000</v>
      </c>
      <c r="E1633" s="535"/>
      <c r="F1633" s="536" t="s">
        <v>862</v>
      </c>
    </row>
    <row r="1634" spans="1:10" x14ac:dyDescent="0.2">
      <c r="A1634" s="531" t="s">
        <v>863</v>
      </c>
      <c r="B1634" s="532" t="s">
        <v>864</v>
      </c>
      <c r="C1634" s="533"/>
      <c r="D1634" s="534">
        <v>1500000</v>
      </c>
      <c r="E1634" s="535"/>
      <c r="F1634" s="536" t="s">
        <v>862</v>
      </c>
    </row>
    <row r="1635" spans="1:10" x14ac:dyDescent="0.2">
      <c r="A1635" s="550"/>
      <c r="B1635" s="567" t="s">
        <v>735</v>
      </c>
      <c r="C1635" s="568">
        <f>SUM(C1612:C1634)</f>
        <v>0.8400000000000003</v>
      </c>
      <c r="D1635" s="569">
        <f>SUM(D1612:D1631)</f>
        <v>12789000</v>
      </c>
      <c r="E1635" s="570"/>
      <c r="F1635" s="554"/>
      <c r="G1635" s="299"/>
    </row>
    <row r="1636" spans="1:10" x14ac:dyDescent="0.2">
      <c r="A1636" s="550"/>
      <c r="B1636" s="567" t="s">
        <v>132</v>
      </c>
      <c r="C1636" s="568">
        <v>0.05</v>
      </c>
      <c r="D1636" s="569">
        <f>C1636*D1611</f>
        <v>761250</v>
      </c>
      <c r="E1636" s="570"/>
      <c r="F1636" s="554"/>
    </row>
    <row r="1637" spans="1:10" ht="28.5" x14ac:dyDescent="0.2">
      <c r="A1637" s="550"/>
      <c r="B1637" s="567" t="s">
        <v>308</v>
      </c>
      <c r="C1637" s="568">
        <f>D1637/D1585</f>
        <v>9.6379310344827593E-2</v>
      </c>
      <c r="D1637" s="569">
        <f>D1585-D1632-D1586-D1587-D1592-D1607-D1635-D1636</f>
        <v>2934750</v>
      </c>
      <c r="E1637" s="570"/>
      <c r="F1637" s="554"/>
    </row>
    <row r="1638" spans="1:10" ht="28.5" x14ac:dyDescent="0.2">
      <c r="A1638" s="571"/>
      <c r="B1638" s="572" t="s">
        <v>375</v>
      </c>
      <c r="C1638" s="573">
        <f>D1638/D1585</f>
        <v>0.12137931034482759</v>
      </c>
      <c r="D1638" s="574">
        <f>D1637+D1636</f>
        <v>3696000</v>
      </c>
      <c r="E1638" s="575"/>
      <c r="F1638" s="575"/>
    </row>
    <row r="1639" spans="1:10" ht="20.25" x14ac:dyDescent="0.2">
      <c r="A1639" s="907" t="s">
        <v>347</v>
      </c>
      <c r="B1639" s="908"/>
      <c r="C1639" s="908"/>
      <c r="D1639" s="908"/>
      <c r="E1639" s="908"/>
      <c r="F1639" s="909"/>
      <c r="G1639" s="250" t="s">
        <v>348</v>
      </c>
      <c r="H1639" s="250" t="s">
        <v>349</v>
      </c>
      <c r="I1639" s="250"/>
      <c r="J1639" s="251" t="s">
        <v>350</v>
      </c>
    </row>
    <row r="1640" spans="1:10" ht="71.25" customHeight="1" x14ac:dyDescent="0.2">
      <c r="A1640" s="804" t="s">
        <v>865</v>
      </c>
      <c r="B1640" s="805"/>
      <c r="C1640" s="805"/>
      <c r="D1640" s="805"/>
      <c r="E1640" s="805"/>
      <c r="F1640" s="806"/>
      <c r="G1640" s="252">
        <v>0.05</v>
      </c>
      <c r="H1640" s="584">
        <f>D1641-D1641*G1640</f>
        <v>7556119.5</v>
      </c>
      <c r="I1640" s="584"/>
      <c r="J1640" s="618">
        <f>H1640-(D1642+D1644+D1648+D1665+D1666)</f>
        <v>1976905</v>
      </c>
    </row>
    <row r="1641" spans="1:10" ht="18.75" x14ac:dyDescent="0.2">
      <c r="A1641" s="173">
        <v>1</v>
      </c>
      <c r="B1641" s="254"/>
      <c r="C1641" s="175"/>
      <c r="D1641" s="798">
        <v>7953810</v>
      </c>
      <c r="E1641" s="799"/>
      <c r="F1641" s="934"/>
      <c r="G1641" s="252">
        <v>0.1</v>
      </c>
      <c r="H1641" s="584">
        <f>D1641-D1641*G1641</f>
        <v>7158429</v>
      </c>
      <c r="I1641" s="584"/>
      <c r="J1641" s="618">
        <f>H1641-(D1642+D1644+D1648+D1665+D1666)</f>
        <v>1579214.5</v>
      </c>
    </row>
    <row r="1642" spans="1:10" ht="18.75" x14ac:dyDescent="0.2">
      <c r="A1642" s="493">
        <v>2</v>
      </c>
      <c r="B1642" s="494" t="s">
        <v>499</v>
      </c>
      <c r="C1642" s="495"/>
      <c r="D1642" s="496">
        <f>SUM(D1643:D1643)</f>
        <v>500000</v>
      </c>
      <c r="E1642" s="496"/>
      <c r="F1642" s="605"/>
      <c r="G1642" s="252"/>
      <c r="H1642" s="584"/>
      <c r="I1642" s="584"/>
      <c r="J1642" s="253"/>
    </row>
    <row r="1643" spans="1:10" x14ac:dyDescent="0.2">
      <c r="A1643" s="497" t="s">
        <v>613</v>
      </c>
      <c r="B1643" s="498" t="s">
        <v>866</v>
      </c>
      <c r="C1643" s="499"/>
      <c r="D1643" s="500">
        <v>500000</v>
      </c>
      <c r="E1643" s="501"/>
      <c r="F1643" s="606" t="s">
        <v>676</v>
      </c>
      <c r="H1643" s="180"/>
      <c r="I1643" s="180"/>
    </row>
    <row r="1644" spans="1:10" x14ac:dyDescent="0.2">
      <c r="A1644" s="502" t="s">
        <v>623</v>
      </c>
      <c r="B1644" s="503" t="s">
        <v>744</v>
      </c>
      <c r="C1644" s="504"/>
      <c r="D1644" s="505">
        <f>SUM(D1645:D1647)</f>
        <v>1000000</v>
      </c>
      <c r="E1644" s="506"/>
      <c r="F1644" s="607"/>
      <c r="G1644" s="615"/>
      <c r="H1644" s="180"/>
      <c r="I1644" s="180"/>
    </row>
    <row r="1645" spans="1:10" x14ac:dyDescent="0.2">
      <c r="A1645" s="508" t="s">
        <v>678</v>
      </c>
      <c r="B1645" s="509" t="s">
        <v>353</v>
      </c>
      <c r="C1645" s="510"/>
      <c r="D1645" s="511">
        <v>400000</v>
      </c>
      <c r="E1645" s="512"/>
      <c r="F1645" s="513"/>
      <c r="H1645" s="180"/>
      <c r="I1645" s="180"/>
    </row>
    <row r="1646" spans="1:10" x14ac:dyDescent="0.2">
      <c r="A1646" s="508" t="s">
        <v>680</v>
      </c>
      <c r="B1646" s="509" t="s">
        <v>745</v>
      </c>
      <c r="C1646" s="510"/>
      <c r="D1646" s="511">
        <v>400000</v>
      </c>
      <c r="E1646" s="512"/>
      <c r="F1646" s="513"/>
    </row>
    <row r="1647" spans="1:10" x14ac:dyDescent="0.2">
      <c r="A1647" s="508" t="s">
        <v>738</v>
      </c>
      <c r="B1647" s="509" t="s">
        <v>681</v>
      </c>
      <c r="C1647" s="510"/>
      <c r="D1647" s="511">
        <v>200000</v>
      </c>
      <c r="E1647" s="512"/>
      <c r="F1647" s="513" t="s">
        <v>867</v>
      </c>
    </row>
    <row r="1648" spans="1:10" x14ac:dyDescent="0.2">
      <c r="A1648" s="538" t="s">
        <v>625</v>
      </c>
      <c r="B1648" s="539" t="s">
        <v>868</v>
      </c>
      <c r="C1648" s="540"/>
      <c r="D1648" s="619">
        <v>500000</v>
      </c>
      <c r="E1648" s="542"/>
      <c r="F1648" s="543"/>
      <c r="G1648" s="1023"/>
      <c r="H1648" s="1023"/>
      <c r="I1648" s="1023"/>
      <c r="J1648" s="1023"/>
    </row>
    <row r="1649" spans="1:10" ht="43.5" x14ac:dyDescent="0.2">
      <c r="A1649" s="550" t="s">
        <v>627</v>
      </c>
      <c r="B1649" s="551" t="s">
        <v>354</v>
      </c>
      <c r="C1649" s="552">
        <v>0.5</v>
      </c>
      <c r="D1649" s="553">
        <f>D1641*C1649</f>
        <v>3976905</v>
      </c>
      <c r="E1649" s="554"/>
      <c r="F1649" s="555"/>
      <c r="G1649" s="608"/>
      <c r="H1649" s="608"/>
      <c r="I1649" s="608"/>
      <c r="J1649" s="608"/>
    </row>
    <row r="1650" spans="1:10" ht="30" x14ac:dyDescent="0.2">
      <c r="A1650" s="556" t="s">
        <v>628</v>
      </c>
      <c r="B1650" s="557" t="s">
        <v>748</v>
      </c>
      <c r="C1650" s="558">
        <v>0.06</v>
      </c>
      <c r="D1650" s="559">
        <f>C1650*D1649</f>
        <v>238614.3</v>
      </c>
      <c r="E1650" s="560"/>
      <c r="F1650" s="561"/>
    </row>
    <row r="1651" spans="1:10" x14ac:dyDescent="0.2">
      <c r="A1651" s="556" t="s">
        <v>629</v>
      </c>
      <c r="B1651" s="557" t="s">
        <v>355</v>
      </c>
      <c r="C1651" s="558">
        <v>0.04</v>
      </c>
      <c r="D1651" s="559">
        <f>C1651*D1649</f>
        <v>159076.20000000001</v>
      </c>
      <c r="E1651" s="560"/>
      <c r="F1651" s="561"/>
    </row>
    <row r="1652" spans="1:10" ht="30" x14ac:dyDescent="0.2">
      <c r="A1652" s="556" t="s">
        <v>630</v>
      </c>
      <c r="B1652" s="557" t="s">
        <v>712</v>
      </c>
      <c r="C1652" s="558">
        <v>0.04</v>
      </c>
      <c r="D1652" s="559">
        <f>D1649*C1652</f>
        <v>159076.20000000001</v>
      </c>
      <c r="E1652" s="561"/>
      <c r="F1652" s="561"/>
    </row>
    <row r="1653" spans="1:10" x14ac:dyDescent="0.2">
      <c r="A1653" s="556" t="s">
        <v>632</v>
      </c>
      <c r="B1653" s="557" t="s">
        <v>20</v>
      </c>
      <c r="C1653" s="558">
        <v>0.06</v>
      </c>
      <c r="D1653" s="559">
        <f>C1653*D1649</f>
        <v>238614.3</v>
      </c>
      <c r="E1653" s="560"/>
      <c r="F1653" s="561"/>
    </row>
    <row r="1654" spans="1:10" x14ac:dyDescent="0.2">
      <c r="A1654" s="556" t="s">
        <v>634</v>
      </c>
      <c r="B1654" s="557" t="s">
        <v>319</v>
      </c>
      <c r="C1654" s="558">
        <v>5.5E-2</v>
      </c>
      <c r="D1654" s="559">
        <f>C1654*D1649</f>
        <v>218729.77499999999</v>
      </c>
      <c r="E1654" s="560"/>
      <c r="F1654" s="561"/>
    </row>
    <row r="1655" spans="1:10" x14ac:dyDescent="0.2">
      <c r="A1655" s="556" t="s">
        <v>635</v>
      </c>
      <c r="B1655" s="562" t="s">
        <v>322</v>
      </c>
      <c r="C1655" s="563">
        <v>0.02</v>
      </c>
      <c r="D1655" s="564">
        <f>D1649*C1655</f>
        <v>79538.100000000006</v>
      </c>
      <c r="E1655" s="565"/>
      <c r="F1655" s="561"/>
    </row>
    <row r="1656" spans="1:10" x14ac:dyDescent="0.2">
      <c r="A1656" s="556" t="s">
        <v>636</v>
      </c>
      <c r="B1656" s="562" t="s">
        <v>642</v>
      </c>
      <c r="C1656" s="563">
        <v>0.05</v>
      </c>
      <c r="D1656" s="564">
        <f>C1656*D1649</f>
        <v>198845.25</v>
      </c>
      <c r="E1656" s="565"/>
      <c r="F1656" s="561"/>
    </row>
    <row r="1657" spans="1:10" ht="21.75" customHeight="1" x14ac:dyDescent="0.2">
      <c r="A1657" s="556" t="s">
        <v>637</v>
      </c>
      <c r="B1657" s="562" t="s">
        <v>260</v>
      </c>
      <c r="C1657" s="563">
        <v>0.04</v>
      </c>
      <c r="D1657" s="564">
        <f>C1657*D1649</f>
        <v>159076.20000000001</v>
      </c>
      <c r="E1657" s="560"/>
      <c r="F1657" s="561"/>
    </row>
    <row r="1658" spans="1:10" ht="21.75" customHeight="1" x14ac:dyDescent="0.2">
      <c r="A1658" s="556" t="s">
        <v>638</v>
      </c>
      <c r="B1658" s="562" t="s">
        <v>272</v>
      </c>
      <c r="C1658" s="563">
        <v>0.05</v>
      </c>
      <c r="D1658" s="564">
        <f>C1658*D1649</f>
        <v>198845.25</v>
      </c>
      <c r="E1658" s="560"/>
      <c r="F1658" s="561"/>
    </row>
    <row r="1659" spans="1:10" x14ac:dyDescent="0.2">
      <c r="A1659" s="556" t="s">
        <v>639</v>
      </c>
      <c r="B1659" s="562" t="s">
        <v>262</v>
      </c>
      <c r="C1659" s="563">
        <v>0.04</v>
      </c>
      <c r="D1659" s="564">
        <f>C1659*D1649</f>
        <v>159076.20000000001</v>
      </c>
      <c r="E1659" s="560"/>
      <c r="F1659" s="561"/>
    </row>
    <row r="1660" spans="1:10" x14ac:dyDescent="0.2">
      <c r="A1660" s="556" t="s">
        <v>640</v>
      </c>
      <c r="B1660" s="562" t="s">
        <v>341</v>
      </c>
      <c r="C1660" s="563">
        <v>6.5000000000000002E-2</v>
      </c>
      <c r="D1660" s="564">
        <f>C1660*D1649</f>
        <v>258498.82500000001</v>
      </c>
      <c r="E1660" s="565"/>
      <c r="F1660" s="561"/>
    </row>
    <row r="1661" spans="1:10" ht="45" x14ac:dyDescent="0.2">
      <c r="A1661" s="556" t="s">
        <v>641</v>
      </c>
      <c r="B1661" s="562" t="s">
        <v>869</v>
      </c>
      <c r="C1661" s="563">
        <v>0.03</v>
      </c>
      <c r="D1661" s="564">
        <f>C1661*D1649</f>
        <v>119307.15</v>
      </c>
      <c r="E1661" s="565"/>
      <c r="F1661" s="561"/>
    </row>
    <row r="1662" spans="1:10" ht="30" x14ac:dyDescent="0.2">
      <c r="A1662" s="556" t="s">
        <v>643</v>
      </c>
      <c r="B1662" s="562" t="s">
        <v>100</v>
      </c>
      <c r="C1662" s="563">
        <v>0.05</v>
      </c>
      <c r="D1662" s="564">
        <f>C1662*D1649</f>
        <v>198845.25</v>
      </c>
      <c r="E1662" s="566"/>
      <c r="F1662" s="560"/>
    </row>
    <row r="1663" spans="1:10" x14ac:dyDescent="0.2">
      <c r="A1663" s="550"/>
      <c r="B1663" s="567" t="s">
        <v>593</v>
      </c>
      <c r="C1663" s="568">
        <f>SUM(C1650:C1662)</f>
        <v>0.60000000000000009</v>
      </c>
      <c r="D1663" s="569">
        <f>SUM(D1650:D1662)</f>
        <v>2386143</v>
      </c>
      <c r="E1663" s="570"/>
      <c r="F1663" s="554"/>
    </row>
    <row r="1664" spans="1:10" x14ac:dyDescent="0.2">
      <c r="A1664" s="550"/>
      <c r="B1664" s="567" t="s">
        <v>132</v>
      </c>
      <c r="C1664" s="568">
        <v>0.1</v>
      </c>
      <c r="D1664" s="569">
        <f>C1664*D1649</f>
        <v>397690.5</v>
      </c>
      <c r="E1664" s="570"/>
      <c r="F1664" s="554"/>
    </row>
    <row r="1665" spans="1:10" ht="28.5" x14ac:dyDescent="0.2">
      <c r="A1665" s="550"/>
      <c r="B1665" s="567" t="s">
        <v>870</v>
      </c>
      <c r="C1665" s="568">
        <f>D1665/D1641</f>
        <v>0.35</v>
      </c>
      <c r="D1665" s="569">
        <f>D1663+D1664</f>
        <v>2783833.5</v>
      </c>
      <c r="E1665" s="570"/>
      <c r="F1665" s="554"/>
    </row>
    <row r="1666" spans="1:10" x14ac:dyDescent="0.2">
      <c r="A1666" s="620" t="s">
        <v>655</v>
      </c>
      <c r="B1666" s="621" t="s">
        <v>871</v>
      </c>
      <c r="C1666" s="622">
        <v>0.1</v>
      </c>
      <c r="D1666" s="623">
        <f>C1666*D1641</f>
        <v>795381</v>
      </c>
      <c r="E1666" s="624"/>
      <c r="F1666" s="625"/>
    </row>
    <row r="1667" spans="1:10" ht="28.5" x14ac:dyDescent="0.2">
      <c r="A1667" s="571"/>
      <c r="B1667" s="572" t="s">
        <v>375</v>
      </c>
      <c r="C1667" s="573">
        <f>D1667/D1641</f>
        <v>0.29854818005459022</v>
      </c>
      <c r="D1667" s="574">
        <f>D1641-D1642-D1644-D1648-D1665-D1666</f>
        <v>2374595.5</v>
      </c>
      <c r="E1667" s="575"/>
      <c r="F1667" s="575"/>
    </row>
    <row r="1668" spans="1:10" ht="51" customHeight="1" x14ac:dyDescent="0.2">
      <c r="A1668" s="267"/>
      <c r="B1668" s="174" t="s">
        <v>403</v>
      </c>
      <c r="C1668" s="585">
        <v>46062</v>
      </c>
      <c r="D1668" s="177"/>
      <c r="E1668" s="177"/>
      <c r="F1668" s="177"/>
    </row>
    <row r="1669" spans="1:10" x14ac:dyDescent="0.2">
      <c r="A1669" s="267"/>
      <c r="B1669" s="174" t="s">
        <v>569</v>
      </c>
      <c r="C1669" s="1014" t="s">
        <v>872</v>
      </c>
      <c r="D1669" s="956"/>
      <c r="E1669" s="956"/>
      <c r="F1669" s="957"/>
    </row>
    <row r="1670" spans="1:10" x14ac:dyDescent="0.2">
      <c r="A1670" s="267"/>
      <c r="B1670" s="174" t="s">
        <v>784</v>
      </c>
      <c r="C1670" s="978" t="s">
        <v>873</v>
      </c>
      <c r="D1670" s="956"/>
      <c r="E1670" s="956"/>
      <c r="F1670" s="957"/>
    </row>
    <row r="1671" spans="1:10" x14ac:dyDescent="0.2">
      <c r="A1671" s="267"/>
      <c r="B1671" s="174" t="s">
        <v>541</v>
      </c>
      <c r="C1671" s="994" t="s">
        <v>827</v>
      </c>
      <c r="D1671" s="995"/>
      <c r="E1671" s="995"/>
      <c r="F1671" s="996"/>
    </row>
    <row r="1672" spans="1:10" ht="69" customHeight="1" x14ac:dyDescent="0.2">
      <c r="A1672" s="267"/>
      <c r="B1672" s="174" t="s">
        <v>404</v>
      </c>
      <c r="C1672" s="952" t="s">
        <v>874</v>
      </c>
      <c r="D1672" s="953"/>
      <c r="E1672" s="953"/>
      <c r="F1672" s="954"/>
    </row>
    <row r="1673" spans="1:10" x14ac:dyDescent="0.2">
      <c r="A1673" s="114"/>
      <c r="B1673" s="21" t="s">
        <v>528</v>
      </c>
      <c r="C1673" s="940">
        <v>0.05</v>
      </c>
      <c r="D1673" s="941"/>
      <c r="E1673" s="941"/>
      <c r="F1673" s="942"/>
    </row>
    <row r="1674" spans="1:10" x14ac:dyDescent="0.2">
      <c r="A1674" s="589"/>
      <c r="B1674" s="590" t="s">
        <v>875</v>
      </c>
      <c r="C1674" s="999">
        <v>0.01</v>
      </c>
      <c r="D1674" s="944"/>
      <c r="E1674" s="944"/>
      <c r="F1674" s="945"/>
    </row>
    <row r="1675" spans="1:10" x14ac:dyDescent="0.2">
      <c r="A1675" s="114"/>
      <c r="B1675" s="591" t="s">
        <v>790</v>
      </c>
      <c r="C1675" s="946" t="s">
        <v>876</v>
      </c>
      <c r="D1675" s="947"/>
      <c r="E1675" s="947"/>
      <c r="F1675" s="948"/>
    </row>
    <row r="1676" spans="1:10" x14ac:dyDescent="0.2">
      <c r="A1676" s="593"/>
      <c r="B1676" s="591" t="s">
        <v>792</v>
      </c>
      <c r="C1676" s="1017" t="s">
        <v>877</v>
      </c>
      <c r="D1676" s="1018"/>
      <c r="E1676" s="1018"/>
      <c r="F1676" s="1019"/>
    </row>
    <row r="1677" spans="1:10" x14ac:dyDescent="0.2">
      <c r="A1677" s="594"/>
      <c r="B1677" s="595" t="s">
        <v>546</v>
      </c>
      <c r="C1677" s="1041"/>
      <c r="D1677" s="1042"/>
      <c r="E1677" s="1042"/>
      <c r="F1677" s="1043"/>
    </row>
    <row r="1678" spans="1:10" ht="31.5" x14ac:dyDescent="0.2">
      <c r="A1678" s="114"/>
      <c r="B1678" s="596" t="s">
        <v>796</v>
      </c>
      <c r="C1678" s="952"/>
      <c r="D1678" s="953"/>
      <c r="E1678" s="953"/>
      <c r="F1678" s="954"/>
    </row>
    <row r="1679" spans="1:10" ht="31.5" x14ac:dyDescent="0.2">
      <c r="A1679" s="593"/>
      <c r="B1679" s="597" t="s">
        <v>798</v>
      </c>
      <c r="C1679" s="896" t="s">
        <v>878</v>
      </c>
      <c r="D1679" s="897"/>
      <c r="E1679" s="897"/>
      <c r="F1679" s="898"/>
    </row>
    <row r="1680" spans="1:10" ht="53.25" customHeight="1" x14ac:dyDescent="0.2">
      <c r="A1680" s="980" t="s">
        <v>879</v>
      </c>
      <c r="B1680" s="981"/>
      <c r="C1680" s="981"/>
      <c r="D1680" s="981"/>
      <c r="E1680" s="982"/>
      <c r="F1680" s="983"/>
      <c r="G1680" s="250" t="s">
        <v>348</v>
      </c>
      <c r="H1680" s="250" t="s">
        <v>349</v>
      </c>
      <c r="I1680" s="250"/>
      <c r="J1680" s="251" t="s">
        <v>350</v>
      </c>
    </row>
    <row r="1681" spans="1:10" ht="18.75" x14ac:dyDescent="0.2">
      <c r="A1681" s="626">
        <v>1</v>
      </c>
      <c r="B1681" s="984" t="s">
        <v>880</v>
      </c>
      <c r="C1681" s="985"/>
      <c r="D1681" s="986">
        <v>62631501.740000002</v>
      </c>
      <c r="E1681" s="986"/>
      <c r="F1681" s="986"/>
      <c r="G1681" s="252">
        <v>0.05</v>
      </c>
      <c r="H1681" s="584">
        <f>D1681-D1681*G1681</f>
        <v>59499926.653000005</v>
      </c>
      <c r="I1681" s="584"/>
      <c r="J1681" s="618">
        <f>H1681-D1683-SUM(D1690:D1694)-D1718-SUM(D1720:D1723)</f>
        <v>5105238.0655000135</v>
      </c>
    </row>
    <row r="1682" spans="1:10" ht="18.75" x14ac:dyDescent="0.2">
      <c r="A1682" s="626"/>
      <c r="B1682" s="627"/>
      <c r="C1682" s="628"/>
      <c r="D1682" s="629"/>
      <c r="E1682" s="629"/>
      <c r="F1682" s="630"/>
      <c r="G1682" s="252">
        <v>0.1</v>
      </c>
      <c r="H1682" s="584">
        <f>D1681-D1681*G1682</f>
        <v>56368351.566</v>
      </c>
      <c r="I1682" s="584"/>
      <c r="J1682" s="618">
        <f>H1682-D1683-SUM(D1690:D1694)-D1718-SUM(D1720:D1723)</f>
        <v>1973662.9785000086</v>
      </c>
    </row>
    <row r="1683" spans="1:10" ht="18.75" x14ac:dyDescent="0.2">
      <c r="A1683" s="631">
        <v>2</v>
      </c>
      <c r="B1683" s="632" t="s">
        <v>8</v>
      </c>
      <c r="C1683" s="633"/>
      <c r="D1683" s="634">
        <f>SUM(D1684:D1689)</f>
        <v>1750000</v>
      </c>
      <c r="E1683" s="634"/>
      <c r="F1683" s="635"/>
      <c r="G1683" s="252"/>
      <c r="H1683" s="584"/>
      <c r="I1683" s="584"/>
      <c r="J1683" s="253"/>
    </row>
    <row r="1684" spans="1:10" x14ac:dyDescent="0.2">
      <c r="A1684" s="636" t="s">
        <v>613</v>
      </c>
      <c r="B1684" s="637" t="s">
        <v>614</v>
      </c>
      <c r="C1684" s="638"/>
      <c r="D1684" s="639">
        <v>400000</v>
      </c>
      <c r="E1684" s="639"/>
      <c r="F1684" s="640"/>
      <c r="G1684" s="299"/>
      <c r="H1684" s="641"/>
      <c r="I1684" s="641"/>
      <c r="J1684" s="299"/>
    </row>
    <row r="1685" spans="1:10" x14ac:dyDescent="0.2">
      <c r="A1685" s="636" t="s">
        <v>615</v>
      </c>
      <c r="B1685" s="637" t="s">
        <v>616</v>
      </c>
      <c r="C1685" s="638"/>
      <c r="D1685" s="639">
        <v>200000</v>
      </c>
      <c r="E1685" s="639"/>
      <c r="F1685" s="640"/>
      <c r="G1685" s="299"/>
      <c r="H1685" s="641"/>
      <c r="I1685" s="641"/>
      <c r="J1685" s="299"/>
    </row>
    <row r="1686" spans="1:10" x14ac:dyDescent="0.2">
      <c r="A1686" s="636" t="s">
        <v>617</v>
      </c>
      <c r="B1686" s="637" t="s">
        <v>618</v>
      </c>
      <c r="C1686" s="638"/>
      <c r="D1686" s="639">
        <v>400000</v>
      </c>
      <c r="E1686" s="639"/>
      <c r="F1686" s="640"/>
      <c r="G1686" s="299"/>
      <c r="H1686" s="641"/>
      <c r="I1686" s="641"/>
      <c r="J1686" s="299"/>
    </row>
    <row r="1687" spans="1:10" ht="30" x14ac:dyDescent="0.2">
      <c r="A1687" s="636" t="s">
        <v>619</v>
      </c>
      <c r="B1687" s="637" t="s">
        <v>620</v>
      </c>
      <c r="C1687" s="638"/>
      <c r="D1687" s="639">
        <v>200000</v>
      </c>
      <c r="E1687" s="639"/>
      <c r="F1687" s="640"/>
      <c r="G1687" s="299"/>
      <c r="H1687" s="641"/>
      <c r="I1687" s="641"/>
      <c r="J1687" s="299"/>
    </row>
    <row r="1688" spans="1:10" x14ac:dyDescent="0.2">
      <c r="A1688" s="636" t="s">
        <v>621</v>
      </c>
      <c r="B1688" s="637" t="s">
        <v>622</v>
      </c>
      <c r="C1688" s="638"/>
      <c r="D1688" s="639">
        <v>200000</v>
      </c>
      <c r="E1688" s="639"/>
      <c r="F1688" s="640"/>
      <c r="G1688" s="299"/>
      <c r="H1688" s="641"/>
      <c r="I1688" s="641"/>
      <c r="J1688" s="299"/>
    </row>
    <row r="1689" spans="1:10" x14ac:dyDescent="0.2">
      <c r="A1689" s="636" t="s">
        <v>881</v>
      </c>
      <c r="B1689" s="637" t="s">
        <v>882</v>
      </c>
      <c r="C1689" s="638"/>
      <c r="D1689" s="639">
        <v>350000</v>
      </c>
      <c r="E1689" s="639"/>
      <c r="F1689" s="640"/>
      <c r="G1689" s="299"/>
      <c r="H1689" s="641"/>
      <c r="I1689" s="641"/>
      <c r="J1689" s="299"/>
    </row>
    <row r="1690" spans="1:10" x14ac:dyDescent="0.2">
      <c r="A1690" s="642" t="s">
        <v>623</v>
      </c>
      <c r="B1690" s="643" t="s">
        <v>883</v>
      </c>
      <c r="C1690" s="628"/>
      <c r="D1690" s="629">
        <v>2500000</v>
      </c>
      <c r="E1690" s="629"/>
      <c r="F1690" s="630"/>
    </row>
    <row r="1691" spans="1:10" ht="30" x14ac:dyDescent="0.2">
      <c r="A1691" s="642" t="s">
        <v>625</v>
      </c>
      <c r="B1691" s="643" t="s">
        <v>884</v>
      </c>
      <c r="C1691" s="628"/>
      <c r="D1691" s="629">
        <v>3500000</v>
      </c>
      <c r="E1691" s="629"/>
      <c r="F1691" s="630"/>
    </row>
    <row r="1692" spans="1:10" x14ac:dyDescent="0.2">
      <c r="A1692" s="642" t="s">
        <v>627</v>
      </c>
      <c r="B1692" s="643" t="s">
        <v>885</v>
      </c>
      <c r="C1692" s="628"/>
      <c r="D1692" s="629">
        <v>2000000</v>
      </c>
      <c r="E1692" s="629"/>
      <c r="F1692" s="630"/>
    </row>
    <row r="1693" spans="1:10" x14ac:dyDescent="0.2">
      <c r="A1693" s="642" t="s">
        <v>655</v>
      </c>
      <c r="B1693" s="643" t="s">
        <v>886</v>
      </c>
      <c r="C1693" s="628"/>
      <c r="D1693" s="629">
        <v>2500000</v>
      </c>
      <c r="E1693" s="629"/>
      <c r="F1693" s="630"/>
    </row>
    <row r="1694" spans="1:10" ht="30" x14ac:dyDescent="0.2">
      <c r="A1694" s="642" t="s">
        <v>657</v>
      </c>
      <c r="B1694" s="643" t="s">
        <v>887</v>
      </c>
      <c r="C1694" s="628"/>
      <c r="D1694" s="629">
        <v>3000000</v>
      </c>
      <c r="E1694" s="629"/>
      <c r="F1694" s="630"/>
    </row>
    <row r="1695" spans="1:10" x14ac:dyDescent="0.2">
      <c r="A1695" s="644" t="s">
        <v>658</v>
      </c>
      <c r="B1695" s="645" t="s">
        <v>289</v>
      </c>
      <c r="C1695" s="646">
        <v>0.6</v>
      </c>
      <c r="D1695" s="647">
        <f>D1681*C1695</f>
        <v>37578901.044</v>
      </c>
      <c r="E1695" s="648"/>
      <c r="F1695" s="649"/>
    </row>
    <row r="1696" spans="1:10" x14ac:dyDescent="0.2">
      <c r="A1696" s="650" t="s">
        <v>888</v>
      </c>
      <c r="B1696" s="651" t="s">
        <v>336</v>
      </c>
      <c r="C1696" s="652">
        <v>2.5000000000000001E-2</v>
      </c>
      <c r="D1696" s="653">
        <f>C1696*D1695</f>
        <v>939472.52610000002</v>
      </c>
      <c r="E1696" s="654"/>
      <c r="F1696" s="655"/>
    </row>
    <row r="1697" spans="1:6" x14ac:dyDescent="0.2">
      <c r="A1697" s="656" t="s">
        <v>889</v>
      </c>
      <c r="B1697" s="651" t="s">
        <v>357</v>
      </c>
      <c r="C1697" s="652">
        <v>0.04</v>
      </c>
      <c r="D1697" s="657">
        <f>D1695*C1697</f>
        <v>1503156.0417599999</v>
      </c>
      <c r="E1697" s="658"/>
      <c r="F1697" s="659"/>
    </row>
    <row r="1698" spans="1:6" x14ac:dyDescent="0.2">
      <c r="A1698" s="650" t="s">
        <v>890</v>
      </c>
      <c r="B1698" s="651" t="s">
        <v>631</v>
      </c>
      <c r="C1698" s="652">
        <v>0.04</v>
      </c>
      <c r="D1698" s="657">
        <f>C1698*D1695</f>
        <v>1503156.0417599999</v>
      </c>
      <c r="E1698" s="660"/>
      <c r="F1698" s="661"/>
    </row>
    <row r="1699" spans="1:6" x14ac:dyDescent="0.2">
      <c r="A1699" s="650" t="s">
        <v>891</v>
      </c>
      <c r="B1699" s="651" t="s">
        <v>633</v>
      </c>
      <c r="C1699" s="662">
        <v>2.5000000000000001E-2</v>
      </c>
      <c r="D1699" s="663">
        <f>D1695*C1699</f>
        <v>939472.52610000002</v>
      </c>
      <c r="E1699" s="664"/>
      <c r="F1699" s="665"/>
    </row>
    <row r="1700" spans="1:6" x14ac:dyDescent="0.2">
      <c r="A1700" s="656" t="s">
        <v>892</v>
      </c>
      <c r="B1700" s="651" t="s">
        <v>20</v>
      </c>
      <c r="C1700" s="662">
        <v>1.4999999999999999E-2</v>
      </c>
      <c r="D1700" s="663">
        <f>D1695*C1700</f>
        <v>563683.51566000003</v>
      </c>
      <c r="E1700" s="664"/>
      <c r="F1700" s="665"/>
    </row>
    <row r="1701" spans="1:6" x14ac:dyDescent="0.2">
      <c r="A1701" s="650" t="s">
        <v>893</v>
      </c>
      <c r="B1701" s="651" t="s">
        <v>267</v>
      </c>
      <c r="C1701" s="662">
        <v>0.1</v>
      </c>
      <c r="D1701" s="663">
        <f>D1695*C1701</f>
        <v>3757890.1044000001</v>
      </c>
      <c r="E1701" s="664"/>
      <c r="F1701" s="665"/>
    </row>
    <row r="1702" spans="1:6" x14ac:dyDescent="0.2">
      <c r="A1702" s="650" t="s">
        <v>894</v>
      </c>
      <c r="B1702" s="651" t="s">
        <v>256</v>
      </c>
      <c r="C1702" s="662">
        <v>0.08</v>
      </c>
      <c r="D1702" s="663">
        <f>D1695*C1702</f>
        <v>3006312.0835199999</v>
      </c>
      <c r="E1702" s="664"/>
      <c r="F1702" s="665"/>
    </row>
    <row r="1703" spans="1:6" x14ac:dyDescent="0.2">
      <c r="A1703" s="656" t="s">
        <v>895</v>
      </c>
      <c r="B1703" s="651" t="s">
        <v>319</v>
      </c>
      <c r="C1703" s="662">
        <v>0.06</v>
      </c>
      <c r="D1703" s="663">
        <f>D1695*C1703</f>
        <v>2254734.0626400001</v>
      </c>
      <c r="E1703" s="664"/>
      <c r="F1703" s="665"/>
    </row>
    <row r="1704" spans="1:6" x14ac:dyDescent="0.2">
      <c r="A1704" s="650" t="s">
        <v>896</v>
      </c>
      <c r="B1704" s="651" t="s">
        <v>294</v>
      </c>
      <c r="C1704" s="662">
        <v>0.04</v>
      </c>
      <c r="D1704" s="663">
        <f>D1695*C1704</f>
        <v>1503156.0417599999</v>
      </c>
      <c r="E1704" s="664"/>
      <c r="F1704" s="665"/>
    </row>
    <row r="1705" spans="1:6" x14ac:dyDescent="0.2">
      <c r="A1705" s="650" t="s">
        <v>897</v>
      </c>
      <c r="B1705" s="651" t="s">
        <v>322</v>
      </c>
      <c r="C1705" s="662">
        <v>0.04</v>
      </c>
      <c r="D1705" s="663">
        <f>D1695*C1705</f>
        <v>1503156.0417599999</v>
      </c>
      <c r="E1705" s="664"/>
      <c r="F1705" s="665"/>
    </row>
    <row r="1706" spans="1:6" x14ac:dyDescent="0.2">
      <c r="A1706" s="656" t="s">
        <v>898</v>
      </c>
      <c r="B1706" s="651" t="s">
        <v>323</v>
      </c>
      <c r="C1706" s="662">
        <v>0.05</v>
      </c>
      <c r="D1706" s="663">
        <f>D1695*C1706</f>
        <v>1878945.0522</v>
      </c>
      <c r="E1706" s="664"/>
      <c r="F1706" s="665"/>
    </row>
    <row r="1707" spans="1:6" x14ac:dyDescent="0.2">
      <c r="A1707" s="650" t="s">
        <v>899</v>
      </c>
      <c r="B1707" s="651" t="s">
        <v>642</v>
      </c>
      <c r="C1707" s="662">
        <v>7.0000000000000007E-2</v>
      </c>
      <c r="D1707" s="663">
        <f>D1695*C1707</f>
        <v>2630523.07308</v>
      </c>
      <c r="E1707" s="664"/>
      <c r="F1707" s="665"/>
    </row>
    <row r="1708" spans="1:6" x14ac:dyDescent="0.2">
      <c r="A1708" s="650" t="s">
        <v>900</v>
      </c>
      <c r="B1708" s="651" t="s">
        <v>259</v>
      </c>
      <c r="C1708" s="662">
        <v>0.03</v>
      </c>
      <c r="D1708" s="663">
        <f>D1695*C1708</f>
        <v>1127367.0313200001</v>
      </c>
      <c r="E1708" s="664"/>
      <c r="F1708" s="665"/>
    </row>
    <row r="1709" spans="1:6" x14ac:dyDescent="0.2">
      <c r="A1709" s="656" t="s">
        <v>901</v>
      </c>
      <c r="B1709" s="651" t="s">
        <v>540</v>
      </c>
      <c r="C1709" s="662">
        <v>0.02</v>
      </c>
      <c r="D1709" s="663">
        <f>D1695*C1709</f>
        <v>751578.02087999997</v>
      </c>
      <c r="E1709" s="664"/>
      <c r="F1709" s="665"/>
    </row>
    <row r="1710" spans="1:6" x14ac:dyDescent="0.2">
      <c r="A1710" s="650" t="s">
        <v>902</v>
      </c>
      <c r="B1710" s="651" t="s">
        <v>272</v>
      </c>
      <c r="C1710" s="662">
        <v>0.01</v>
      </c>
      <c r="D1710" s="663">
        <f>D1695*C1710</f>
        <v>375789.01043999998</v>
      </c>
      <c r="E1710" s="664"/>
      <c r="F1710" s="665"/>
    </row>
    <row r="1711" spans="1:6" x14ac:dyDescent="0.2">
      <c r="A1711" s="650" t="s">
        <v>903</v>
      </c>
      <c r="B1711" s="651" t="s">
        <v>261</v>
      </c>
      <c r="C1711" s="662">
        <v>0.02</v>
      </c>
      <c r="D1711" s="663">
        <f>D1695*C1711</f>
        <v>751578.02087999997</v>
      </c>
      <c r="E1711" s="664"/>
      <c r="F1711" s="665" t="s">
        <v>904</v>
      </c>
    </row>
    <row r="1712" spans="1:6" x14ac:dyDescent="0.2">
      <c r="A1712" s="656" t="s">
        <v>905</v>
      </c>
      <c r="B1712" s="651" t="s">
        <v>273</v>
      </c>
      <c r="C1712" s="662">
        <v>0.01</v>
      </c>
      <c r="D1712" s="663">
        <f>D1695*C1712</f>
        <v>375789.01043999998</v>
      </c>
      <c r="E1712" s="664"/>
      <c r="F1712" s="665"/>
    </row>
    <row r="1713" spans="1:6" x14ac:dyDescent="0.2">
      <c r="A1713" s="650" t="s">
        <v>906</v>
      </c>
      <c r="B1713" s="651" t="s">
        <v>262</v>
      </c>
      <c r="C1713" s="662">
        <v>0.01</v>
      </c>
      <c r="D1713" s="663">
        <f>D1695*C1713</f>
        <v>375789.01043999998</v>
      </c>
      <c r="E1713" s="664"/>
      <c r="F1713" s="665"/>
    </row>
    <row r="1714" spans="1:6" x14ac:dyDescent="0.2">
      <c r="A1714" s="650" t="s">
        <v>907</v>
      </c>
      <c r="B1714" s="651" t="s">
        <v>341</v>
      </c>
      <c r="C1714" s="662">
        <v>0.06</v>
      </c>
      <c r="D1714" s="663">
        <f>D1695*C1714</f>
        <v>2254734.0626400001</v>
      </c>
      <c r="E1714" s="664"/>
      <c r="F1714" s="665"/>
    </row>
    <row r="1715" spans="1:6" x14ac:dyDescent="0.2">
      <c r="A1715" s="656" t="s">
        <v>908</v>
      </c>
      <c r="B1715" s="651" t="s">
        <v>816</v>
      </c>
      <c r="C1715" s="662">
        <v>1.4999999999999999E-2</v>
      </c>
      <c r="D1715" s="663">
        <f>C1715*D1695</f>
        <v>563683.51566000003</v>
      </c>
      <c r="E1715" s="664"/>
      <c r="F1715" s="665"/>
    </row>
    <row r="1716" spans="1:6" x14ac:dyDescent="0.2">
      <c r="A1716" s="650" t="s">
        <v>909</v>
      </c>
      <c r="B1716" s="651" t="s">
        <v>910</v>
      </c>
      <c r="C1716" s="662">
        <v>2.75E-2</v>
      </c>
      <c r="D1716" s="663">
        <f>C1716*D1695</f>
        <v>1033419.77871</v>
      </c>
      <c r="E1716" s="664"/>
      <c r="F1716" s="665"/>
    </row>
    <row r="1717" spans="1:6" x14ac:dyDescent="0.2">
      <c r="A1717" s="650" t="s">
        <v>911</v>
      </c>
      <c r="B1717" s="651" t="s">
        <v>651</v>
      </c>
      <c r="C1717" s="662">
        <v>2.5000000000000001E-3</v>
      </c>
      <c r="D1717" s="663">
        <f>C1717*D1681</f>
        <v>156578.75435</v>
      </c>
      <c r="E1717" s="664"/>
      <c r="F1717" s="665"/>
    </row>
    <row r="1718" spans="1:6" x14ac:dyDescent="0.2">
      <c r="A1718" s="666"/>
      <c r="B1718" s="645" t="s">
        <v>654</v>
      </c>
      <c r="C1718" s="646">
        <f>SUM(C1696:C1714)</f>
        <v>0.74500000000000011</v>
      </c>
      <c r="D1718" s="648">
        <f>SUM(D1696:D1717)</f>
        <v>29749963.326499991</v>
      </c>
      <c r="E1718" s="667"/>
      <c r="F1718" s="649"/>
    </row>
    <row r="1719" spans="1:6" x14ac:dyDescent="0.2">
      <c r="A1719" s="642"/>
      <c r="B1719" s="627" t="s">
        <v>656</v>
      </c>
      <c r="C1719" s="668"/>
      <c r="D1719" s="629"/>
      <c r="E1719" s="669"/>
      <c r="F1719" s="630"/>
    </row>
    <row r="1720" spans="1:6" x14ac:dyDescent="0.2">
      <c r="A1720" s="642" t="s">
        <v>658</v>
      </c>
      <c r="B1720" s="627" t="s">
        <v>343</v>
      </c>
      <c r="C1720" s="668">
        <v>0.01</v>
      </c>
      <c r="D1720" s="629">
        <f>C1720*D1681</f>
        <v>626315.01740000001</v>
      </c>
      <c r="E1720" s="669"/>
      <c r="F1720" s="630"/>
    </row>
    <row r="1721" spans="1:6" x14ac:dyDescent="0.2">
      <c r="A1721" s="642" t="s">
        <v>660</v>
      </c>
      <c r="B1721" s="627" t="s">
        <v>659</v>
      </c>
      <c r="C1721" s="668">
        <v>0.03</v>
      </c>
      <c r="D1721" s="629">
        <f>C1721*D1681</f>
        <v>1878945.0522</v>
      </c>
      <c r="E1721" s="669"/>
      <c r="F1721" s="630"/>
    </row>
    <row r="1722" spans="1:6" x14ac:dyDescent="0.2">
      <c r="A1722" s="642" t="s">
        <v>772</v>
      </c>
      <c r="B1722" s="627" t="s">
        <v>912</v>
      </c>
      <c r="C1722" s="668">
        <v>0.04</v>
      </c>
      <c r="D1722" s="629">
        <f>C1722*D1681</f>
        <v>2505260.0696</v>
      </c>
      <c r="E1722" s="669"/>
      <c r="F1722" s="630"/>
    </row>
    <row r="1723" spans="1:6" ht="42.75" x14ac:dyDescent="0.2">
      <c r="A1723" s="642" t="s">
        <v>913</v>
      </c>
      <c r="B1723" s="670" t="s">
        <v>132</v>
      </c>
      <c r="C1723" s="668">
        <v>7.0000000000000007E-2</v>
      </c>
      <c r="D1723" s="629">
        <f>C1723*D1681</f>
        <v>4384205.1218000008</v>
      </c>
      <c r="E1723" s="671"/>
      <c r="F1723" s="672" t="s">
        <v>771</v>
      </c>
    </row>
    <row r="1724" spans="1:6" x14ac:dyDescent="0.2">
      <c r="A1724" s="642"/>
      <c r="B1724" s="673" t="s">
        <v>914</v>
      </c>
      <c r="C1724" s="674"/>
      <c r="D1724" s="675">
        <f>D1681-D1683-SUM(D1690:D1694)-D1718-SUM(D1720:D1723)</f>
        <v>8236813.152500011</v>
      </c>
      <c r="E1724" s="629"/>
      <c r="F1724" s="630"/>
    </row>
    <row r="1725" spans="1:6" x14ac:dyDescent="0.2">
      <c r="A1725" s="676"/>
      <c r="B1725" s="677" t="s">
        <v>661</v>
      </c>
      <c r="C1725" s="195"/>
      <c r="D1725" s="678">
        <f>D1724+D1723</f>
        <v>12621018.274300013</v>
      </c>
      <c r="E1725" s="678"/>
      <c r="F1725" s="679"/>
    </row>
    <row r="1726" spans="1:6" x14ac:dyDescent="0.2">
      <c r="A1726" s="680"/>
      <c r="B1726" s="681" t="s">
        <v>301</v>
      </c>
      <c r="C1726" s="682"/>
      <c r="D1726" s="680"/>
      <c r="E1726" s="683"/>
      <c r="F1726" s="680"/>
    </row>
    <row r="1727" spans="1:6" x14ac:dyDescent="0.2">
      <c r="A1727" s="267"/>
      <c r="B1727" s="174" t="s">
        <v>403</v>
      </c>
      <c r="C1727" s="585">
        <v>46056</v>
      </c>
      <c r="D1727" s="177"/>
      <c r="E1727" s="177"/>
      <c r="F1727" s="177"/>
    </row>
    <row r="1728" spans="1:6" x14ac:dyDescent="0.2">
      <c r="A1728" s="267"/>
      <c r="B1728" s="174" t="s">
        <v>569</v>
      </c>
      <c r="C1728" s="978" t="s">
        <v>915</v>
      </c>
      <c r="D1728" s="956"/>
      <c r="E1728" s="956"/>
      <c r="F1728" s="957"/>
    </row>
    <row r="1729" spans="1:10" x14ac:dyDescent="0.2">
      <c r="A1729" s="267"/>
      <c r="B1729" s="174" t="s">
        <v>784</v>
      </c>
      <c r="C1729" s="978" t="s">
        <v>916</v>
      </c>
      <c r="D1729" s="956"/>
      <c r="E1729" s="956"/>
      <c r="F1729" s="957"/>
    </row>
    <row r="1730" spans="1:10" ht="47.25" customHeight="1" x14ac:dyDescent="0.2">
      <c r="A1730" s="267"/>
      <c r="B1730" s="174" t="s">
        <v>541</v>
      </c>
      <c r="C1730" s="915" t="s">
        <v>917</v>
      </c>
      <c r="D1730" s="916"/>
      <c r="E1730" s="916"/>
      <c r="F1730" s="917"/>
    </row>
    <row r="1731" spans="1:10" ht="72.75" customHeight="1" x14ac:dyDescent="0.2">
      <c r="A1731" s="267"/>
      <c r="B1731" s="174" t="s">
        <v>404</v>
      </c>
      <c r="C1731" s="958" t="s">
        <v>918</v>
      </c>
      <c r="D1731" s="959"/>
      <c r="E1731" s="959"/>
      <c r="F1731" s="960"/>
    </row>
    <row r="1732" spans="1:10" x14ac:dyDescent="0.2">
      <c r="A1732" s="114"/>
      <c r="B1732" s="21" t="s">
        <v>919</v>
      </c>
      <c r="C1732" s="940">
        <v>0.3</v>
      </c>
      <c r="D1732" s="941"/>
      <c r="E1732" s="941"/>
      <c r="F1732" s="942"/>
    </row>
    <row r="1733" spans="1:10" x14ac:dyDescent="0.2">
      <c r="A1733" s="589"/>
      <c r="B1733" s="590" t="s">
        <v>875</v>
      </c>
      <c r="C1733" s="977">
        <v>5.0000000000000001E-4</v>
      </c>
      <c r="D1733" s="961"/>
      <c r="E1733" s="961"/>
      <c r="F1733" s="962"/>
    </row>
    <row r="1734" spans="1:10" x14ac:dyDescent="0.2">
      <c r="A1734" s="114"/>
      <c r="B1734" s="591" t="s">
        <v>920</v>
      </c>
      <c r="C1734" s="946">
        <v>46229</v>
      </c>
      <c r="D1734" s="947"/>
      <c r="E1734" s="947"/>
      <c r="F1734" s="948"/>
    </row>
    <row r="1735" spans="1:10" ht="57.75" customHeight="1" x14ac:dyDescent="0.2">
      <c r="A1735" s="593"/>
      <c r="B1735" s="591" t="s">
        <v>792</v>
      </c>
      <c r="C1735" s="927" t="s">
        <v>921</v>
      </c>
      <c r="D1735" s="928"/>
      <c r="E1735" s="928"/>
      <c r="F1735" s="929"/>
    </row>
    <row r="1736" spans="1:10" ht="96" customHeight="1" x14ac:dyDescent="0.2">
      <c r="A1736" s="594"/>
      <c r="B1736" s="595" t="s">
        <v>546</v>
      </c>
      <c r="C1736" s="949" t="s">
        <v>922</v>
      </c>
      <c r="D1736" s="950"/>
      <c r="E1736" s="950"/>
      <c r="F1736" s="951"/>
    </row>
    <row r="1737" spans="1:10" ht="242.25" customHeight="1" x14ac:dyDescent="0.2">
      <c r="A1737" s="114"/>
      <c r="B1737" s="596" t="s">
        <v>796</v>
      </c>
      <c r="C1737" s="952" t="s">
        <v>923</v>
      </c>
      <c r="D1737" s="953"/>
      <c r="E1737" s="953"/>
      <c r="F1737" s="954"/>
    </row>
    <row r="1738" spans="1:10" ht="31.5" x14ac:dyDescent="0.2">
      <c r="A1738" s="593"/>
      <c r="B1738" s="597" t="s">
        <v>798</v>
      </c>
      <c r="C1738" s="949" t="s">
        <v>924</v>
      </c>
      <c r="D1738" s="950"/>
      <c r="E1738" s="950"/>
      <c r="F1738" s="951"/>
    </row>
    <row r="1739" spans="1:10" ht="63.75" customHeight="1" x14ac:dyDescent="0.2">
      <c r="A1739" s="980" t="s">
        <v>925</v>
      </c>
      <c r="B1739" s="981"/>
      <c r="C1739" s="981"/>
      <c r="D1739" s="981"/>
      <c r="E1739" s="982"/>
      <c r="F1739" s="983"/>
      <c r="G1739" s="250" t="s">
        <v>348</v>
      </c>
      <c r="H1739" s="250" t="s">
        <v>349</v>
      </c>
      <c r="I1739" s="250"/>
      <c r="J1739" s="251" t="s">
        <v>350</v>
      </c>
    </row>
    <row r="1740" spans="1:10" ht="18.75" x14ac:dyDescent="0.2">
      <c r="A1740" s="626">
        <v>1</v>
      </c>
      <c r="B1740" s="984" t="s">
        <v>880</v>
      </c>
      <c r="C1740" s="985"/>
      <c r="D1740" s="986">
        <v>70624519.280000001</v>
      </c>
      <c r="E1740" s="986"/>
      <c r="F1740" s="986"/>
      <c r="G1740" s="252">
        <v>0.05</v>
      </c>
      <c r="H1740" s="584">
        <f>D1740-D1740*G1740</f>
        <v>67093293.316</v>
      </c>
      <c r="I1740" s="584"/>
      <c r="J1740" s="618">
        <f>H1740-D1742-SUM(D1749:D1753)-D1777-SUM(D1779:D1782)</f>
        <v>6544526.21844</v>
      </c>
    </row>
    <row r="1741" spans="1:10" ht="18.75" x14ac:dyDescent="0.2">
      <c r="A1741" s="626"/>
      <c r="B1741" s="627"/>
      <c r="C1741" s="628"/>
      <c r="D1741" s="629"/>
      <c r="E1741" s="629"/>
      <c r="F1741" s="630"/>
      <c r="G1741" s="252">
        <v>0.1</v>
      </c>
      <c r="H1741" s="584">
        <f>D1740-D1740*G1741</f>
        <v>63562067.351999998</v>
      </c>
      <c r="I1741" s="584"/>
      <c r="J1741" s="618">
        <f>H1741-D1742-SUM(D1749:D1753)-D1777-SUM(D1779:D1782)</f>
        <v>3013300.2544399984</v>
      </c>
    </row>
    <row r="1742" spans="1:10" ht="18.75" x14ac:dyDescent="0.2">
      <c r="A1742" s="631">
        <v>2</v>
      </c>
      <c r="B1742" s="632" t="s">
        <v>8</v>
      </c>
      <c r="C1742" s="633"/>
      <c r="D1742" s="634">
        <f>SUM(D1743:D1748)</f>
        <v>2150000</v>
      </c>
      <c r="E1742" s="634"/>
      <c r="F1742" s="635"/>
      <c r="G1742" s="252"/>
      <c r="H1742" s="584"/>
      <c r="I1742" s="584"/>
      <c r="J1742" s="253"/>
    </row>
    <row r="1743" spans="1:10" x14ac:dyDescent="0.2">
      <c r="A1743" s="636" t="s">
        <v>613</v>
      </c>
      <c r="B1743" s="637" t="s">
        <v>614</v>
      </c>
      <c r="C1743" s="638"/>
      <c r="D1743" s="639">
        <v>500000</v>
      </c>
      <c r="E1743" s="639"/>
      <c r="F1743" s="640"/>
      <c r="G1743" s="299"/>
      <c r="H1743" s="641"/>
      <c r="I1743" s="641"/>
      <c r="J1743" s="299"/>
    </row>
    <row r="1744" spans="1:10" x14ac:dyDescent="0.2">
      <c r="A1744" s="636" t="s">
        <v>615</v>
      </c>
      <c r="B1744" s="637" t="s">
        <v>489</v>
      </c>
      <c r="C1744" s="638"/>
      <c r="D1744" s="639">
        <v>250000</v>
      </c>
      <c r="E1744" s="639"/>
      <c r="F1744" s="640"/>
      <c r="G1744" s="299"/>
      <c r="H1744" s="641"/>
      <c r="I1744" s="641"/>
      <c r="J1744" s="299"/>
    </row>
    <row r="1745" spans="1:10" x14ac:dyDescent="0.2">
      <c r="A1745" s="636" t="s">
        <v>617</v>
      </c>
      <c r="B1745" s="637" t="s">
        <v>618</v>
      </c>
      <c r="C1745" s="638"/>
      <c r="D1745" s="639">
        <v>500000</v>
      </c>
      <c r="E1745" s="639"/>
      <c r="F1745" s="640"/>
      <c r="G1745" s="299"/>
      <c r="H1745" s="641"/>
      <c r="I1745" s="641"/>
      <c r="J1745" s="299"/>
    </row>
    <row r="1746" spans="1:10" ht="30" x14ac:dyDescent="0.2">
      <c r="A1746" s="636" t="s">
        <v>619</v>
      </c>
      <c r="B1746" s="637" t="s">
        <v>620</v>
      </c>
      <c r="C1746" s="638"/>
      <c r="D1746" s="639">
        <v>250000</v>
      </c>
      <c r="E1746" s="639"/>
      <c r="F1746" s="640"/>
      <c r="G1746" s="299"/>
      <c r="H1746" s="641"/>
      <c r="I1746" s="641"/>
      <c r="J1746" s="299"/>
    </row>
    <row r="1747" spans="1:10" x14ac:dyDescent="0.2">
      <c r="A1747" s="636" t="s">
        <v>621</v>
      </c>
      <c r="B1747" s="637" t="s">
        <v>622</v>
      </c>
      <c r="C1747" s="638"/>
      <c r="D1747" s="639">
        <v>250000</v>
      </c>
      <c r="E1747" s="639"/>
      <c r="F1747" s="640"/>
      <c r="G1747" s="299"/>
      <c r="H1747" s="641"/>
      <c r="I1747" s="641"/>
      <c r="J1747" s="299"/>
    </row>
    <row r="1748" spans="1:10" x14ac:dyDescent="0.2">
      <c r="A1748" s="636" t="s">
        <v>881</v>
      </c>
      <c r="B1748" s="637" t="s">
        <v>882</v>
      </c>
      <c r="C1748" s="638"/>
      <c r="D1748" s="639">
        <v>400000</v>
      </c>
      <c r="E1748" s="639"/>
      <c r="F1748" s="640"/>
      <c r="G1748" s="299"/>
      <c r="H1748" s="641"/>
      <c r="I1748" s="641"/>
      <c r="J1748" s="299"/>
    </row>
    <row r="1749" spans="1:10" x14ac:dyDescent="0.2">
      <c r="A1749" s="642" t="s">
        <v>623</v>
      </c>
      <c r="B1749" s="643" t="s">
        <v>883</v>
      </c>
      <c r="C1749" s="628"/>
      <c r="D1749" s="629">
        <v>3000000</v>
      </c>
      <c r="E1749" s="629"/>
      <c r="F1749" s="630"/>
    </row>
    <row r="1750" spans="1:10" ht="30" x14ac:dyDescent="0.2">
      <c r="A1750" s="642" t="s">
        <v>625</v>
      </c>
      <c r="B1750" s="643" t="s">
        <v>884</v>
      </c>
      <c r="C1750" s="628"/>
      <c r="D1750" s="629">
        <v>4000000</v>
      </c>
      <c r="E1750" s="629"/>
      <c r="F1750" s="630"/>
    </row>
    <row r="1751" spans="1:10" x14ac:dyDescent="0.2">
      <c r="A1751" s="642" t="s">
        <v>627</v>
      </c>
      <c r="B1751" s="643" t="s">
        <v>885</v>
      </c>
      <c r="C1751" s="628"/>
      <c r="D1751" s="629">
        <v>2500000</v>
      </c>
      <c r="E1751" s="629"/>
      <c r="F1751" s="630"/>
    </row>
    <row r="1752" spans="1:10" x14ac:dyDescent="0.2">
      <c r="A1752" s="642" t="s">
        <v>655</v>
      </c>
      <c r="B1752" s="643" t="s">
        <v>886</v>
      </c>
      <c r="C1752" s="628"/>
      <c r="D1752" s="629">
        <v>2500000</v>
      </c>
      <c r="E1752" s="629"/>
      <c r="F1752" s="630"/>
    </row>
    <row r="1753" spans="1:10" ht="30" x14ac:dyDescent="0.2">
      <c r="A1753" s="642" t="s">
        <v>657</v>
      </c>
      <c r="B1753" s="643" t="s">
        <v>887</v>
      </c>
      <c r="C1753" s="628"/>
      <c r="D1753" s="629">
        <v>3000000</v>
      </c>
      <c r="E1753" s="629"/>
      <c r="F1753" s="630"/>
    </row>
    <row r="1754" spans="1:10" x14ac:dyDescent="0.2">
      <c r="A1754" s="644" t="s">
        <v>658</v>
      </c>
      <c r="B1754" s="645" t="s">
        <v>289</v>
      </c>
      <c r="C1754" s="646">
        <v>0.6</v>
      </c>
      <c r="D1754" s="647">
        <f>D1740*C1754</f>
        <v>42374711.567999996</v>
      </c>
      <c r="E1754" s="648"/>
      <c r="F1754" s="649"/>
    </row>
    <row r="1755" spans="1:10" x14ac:dyDescent="0.2">
      <c r="A1755" s="650" t="s">
        <v>888</v>
      </c>
      <c r="B1755" s="651" t="s">
        <v>336</v>
      </c>
      <c r="C1755" s="652">
        <v>2.5000000000000001E-2</v>
      </c>
      <c r="D1755" s="653">
        <f>C1755*D1754</f>
        <v>1059367.7892</v>
      </c>
      <c r="E1755" s="654"/>
      <c r="F1755" s="655"/>
    </row>
    <row r="1756" spans="1:10" x14ac:dyDescent="0.2">
      <c r="A1756" s="656" t="s">
        <v>889</v>
      </c>
      <c r="B1756" s="651" t="s">
        <v>357</v>
      </c>
      <c r="C1756" s="652">
        <v>0.04</v>
      </c>
      <c r="D1756" s="657">
        <f>D1754*C1756</f>
        <v>1694988.46272</v>
      </c>
      <c r="E1756" s="658"/>
      <c r="F1756" s="659"/>
    </row>
    <row r="1757" spans="1:10" x14ac:dyDescent="0.2">
      <c r="A1757" s="650" t="s">
        <v>890</v>
      </c>
      <c r="B1757" s="651" t="s">
        <v>631</v>
      </c>
      <c r="C1757" s="652">
        <v>0.04</v>
      </c>
      <c r="D1757" s="657">
        <f>C1757*D1754</f>
        <v>1694988.46272</v>
      </c>
      <c r="E1757" s="660"/>
      <c r="F1757" s="661"/>
    </row>
    <row r="1758" spans="1:10" x14ac:dyDescent="0.2">
      <c r="A1758" s="650" t="s">
        <v>891</v>
      </c>
      <c r="B1758" s="651" t="s">
        <v>633</v>
      </c>
      <c r="C1758" s="662">
        <v>2.5000000000000001E-2</v>
      </c>
      <c r="D1758" s="663">
        <f>D1754*C1758</f>
        <v>1059367.7892</v>
      </c>
      <c r="E1758" s="664"/>
      <c r="F1758" s="665"/>
    </row>
    <row r="1759" spans="1:10" x14ac:dyDescent="0.2">
      <c r="A1759" s="656" t="s">
        <v>892</v>
      </c>
      <c r="B1759" s="651" t="s">
        <v>20</v>
      </c>
      <c r="C1759" s="662">
        <v>1.2500000000000001E-2</v>
      </c>
      <c r="D1759" s="663">
        <f>D1754*C1759</f>
        <v>529683.8946</v>
      </c>
      <c r="E1759" s="664"/>
      <c r="F1759" s="665"/>
    </row>
    <row r="1760" spans="1:10" x14ac:dyDescent="0.2">
      <c r="A1760" s="650" t="s">
        <v>893</v>
      </c>
      <c r="B1760" s="651" t="s">
        <v>267</v>
      </c>
      <c r="C1760" s="662">
        <v>0.1</v>
      </c>
      <c r="D1760" s="663">
        <f>D1754*C1760</f>
        <v>4237471.1568</v>
      </c>
      <c r="E1760" s="664"/>
      <c r="F1760" s="665"/>
    </row>
    <row r="1761" spans="1:6" x14ac:dyDescent="0.2">
      <c r="A1761" s="650" t="s">
        <v>894</v>
      </c>
      <c r="B1761" s="651" t="s">
        <v>256</v>
      </c>
      <c r="C1761" s="662">
        <v>0.08</v>
      </c>
      <c r="D1761" s="663">
        <f>D1754*C1761</f>
        <v>3389976.9254399999</v>
      </c>
      <c r="E1761" s="664"/>
      <c r="F1761" s="665"/>
    </row>
    <row r="1762" spans="1:6" x14ac:dyDescent="0.2">
      <c r="A1762" s="656" t="s">
        <v>895</v>
      </c>
      <c r="B1762" s="651" t="s">
        <v>319</v>
      </c>
      <c r="C1762" s="662">
        <v>0.06</v>
      </c>
      <c r="D1762" s="663">
        <f>D1754*C1762</f>
        <v>2542482.6940799998</v>
      </c>
      <c r="E1762" s="664"/>
      <c r="F1762" s="665"/>
    </row>
    <row r="1763" spans="1:6" x14ac:dyDescent="0.2">
      <c r="A1763" s="650" t="s">
        <v>896</v>
      </c>
      <c r="B1763" s="651" t="s">
        <v>294</v>
      </c>
      <c r="C1763" s="662">
        <v>0.04</v>
      </c>
      <c r="D1763" s="663">
        <f>D1754*C1763</f>
        <v>1694988.46272</v>
      </c>
      <c r="E1763" s="664"/>
      <c r="F1763" s="665"/>
    </row>
    <row r="1764" spans="1:6" x14ac:dyDescent="0.2">
      <c r="A1764" s="650" t="s">
        <v>897</v>
      </c>
      <c r="B1764" s="651" t="s">
        <v>322</v>
      </c>
      <c r="C1764" s="662">
        <v>0.04</v>
      </c>
      <c r="D1764" s="663">
        <f>D1754*C1764</f>
        <v>1694988.46272</v>
      </c>
      <c r="E1764" s="664"/>
      <c r="F1764" s="665"/>
    </row>
    <row r="1765" spans="1:6" x14ac:dyDescent="0.2">
      <c r="A1765" s="656" t="s">
        <v>898</v>
      </c>
      <c r="B1765" s="651" t="s">
        <v>323</v>
      </c>
      <c r="C1765" s="662">
        <v>5.5E-2</v>
      </c>
      <c r="D1765" s="663">
        <f>D1754*C1765</f>
        <v>2330609.1362399999</v>
      </c>
      <c r="E1765" s="664"/>
      <c r="F1765" s="665"/>
    </row>
    <row r="1766" spans="1:6" x14ac:dyDescent="0.2">
      <c r="A1766" s="650" t="s">
        <v>899</v>
      </c>
      <c r="B1766" s="651" t="s">
        <v>642</v>
      </c>
      <c r="C1766" s="662">
        <v>7.0000000000000007E-2</v>
      </c>
      <c r="D1766" s="663">
        <f>D1754*C1766</f>
        <v>2966229.8097600001</v>
      </c>
      <c r="E1766" s="664"/>
      <c r="F1766" s="665"/>
    </row>
    <row r="1767" spans="1:6" x14ac:dyDescent="0.2">
      <c r="A1767" s="650" t="s">
        <v>900</v>
      </c>
      <c r="B1767" s="651" t="s">
        <v>259</v>
      </c>
      <c r="C1767" s="662">
        <v>0.03</v>
      </c>
      <c r="D1767" s="663">
        <f>D1754*C1767</f>
        <v>1271241.3470399999</v>
      </c>
      <c r="E1767" s="664"/>
      <c r="F1767" s="665"/>
    </row>
    <row r="1768" spans="1:6" x14ac:dyDescent="0.2">
      <c r="A1768" s="656" t="s">
        <v>901</v>
      </c>
      <c r="B1768" s="651" t="s">
        <v>540</v>
      </c>
      <c r="C1768" s="662">
        <v>0.02</v>
      </c>
      <c r="D1768" s="663">
        <f>D1754*C1768</f>
        <v>847494.23135999998</v>
      </c>
      <c r="E1768" s="664"/>
      <c r="F1768" s="665"/>
    </row>
    <row r="1769" spans="1:6" x14ac:dyDescent="0.2">
      <c r="A1769" s="650" t="s">
        <v>902</v>
      </c>
      <c r="B1769" s="651" t="s">
        <v>272</v>
      </c>
      <c r="C1769" s="662">
        <v>0.01</v>
      </c>
      <c r="D1769" s="663">
        <f>D1754*C1769</f>
        <v>423747.11567999999</v>
      </c>
      <c r="E1769" s="664"/>
      <c r="F1769" s="665"/>
    </row>
    <row r="1770" spans="1:6" x14ac:dyDescent="0.2">
      <c r="A1770" s="650" t="s">
        <v>903</v>
      </c>
      <c r="B1770" s="651" t="s">
        <v>261</v>
      </c>
      <c r="C1770" s="662">
        <v>1.4999999999999999E-2</v>
      </c>
      <c r="D1770" s="663">
        <f>D1754*C1770</f>
        <v>635620.67351999995</v>
      </c>
      <c r="E1770" s="664"/>
      <c r="F1770" s="665" t="s">
        <v>904</v>
      </c>
    </row>
    <row r="1771" spans="1:6" x14ac:dyDescent="0.2">
      <c r="A1771" s="656" t="s">
        <v>905</v>
      </c>
      <c r="B1771" s="651" t="s">
        <v>273</v>
      </c>
      <c r="C1771" s="662">
        <v>5.0000000000000001E-3</v>
      </c>
      <c r="D1771" s="663">
        <f>D1754*C1771</f>
        <v>211873.55783999999</v>
      </c>
      <c r="E1771" s="664"/>
      <c r="F1771" s="665"/>
    </row>
    <row r="1772" spans="1:6" x14ac:dyDescent="0.2">
      <c r="A1772" s="650" t="s">
        <v>906</v>
      </c>
      <c r="B1772" s="651" t="s">
        <v>262</v>
      </c>
      <c r="C1772" s="662">
        <v>5.0000000000000001E-3</v>
      </c>
      <c r="D1772" s="663">
        <f>D1754*C1772</f>
        <v>211873.55783999999</v>
      </c>
      <c r="E1772" s="664"/>
      <c r="F1772" s="665"/>
    </row>
    <row r="1773" spans="1:6" x14ac:dyDescent="0.2">
      <c r="A1773" s="650" t="s">
        <v>907</v>
      </c>
      <c r="B1773" s="651" t="s">
        <v>341</v>
      </c>
      <c r="C1773" s="662">
        <v>0.06</v>
      </c>
      <c r="D1773" s="663">
        <f>D1754*C1773</f>
        <v>2542482.6940799998</v>
      </c>
      <c r="E1773" s="664"/>
      <c r="F1773" s="665"/>
    </row>
    <row r="1774" spans="1:6" x14ac:dyDescent="0.2">
      <c r="A1774" s="656" t="s">
        <v>908</v>
      </c>
      <c r="B1774" s="651" t="s">
        <v>816</v>
      </c>
      <c r="C1774" s="662">
        <v>0.01</v>
      </c>
      <c r="D1774" s="663">
        <f>C1774*D1754</f>
        <v>423747.11567999999</v>
      </c>
      <c r="E1774" s="664"/>
      <c r="F1774" s="665"/>
    </row>
    <row r="1775" spans="1:6" x14ac:dyDescent="0.2">
      <c r="A1775" s="650" t="s">
        <v>909</v>
      </c>
      <c r="B1775" s="651" t="s">
        <v>910</v>
      </c>
      <c r="C1775" s="662">
        <v>2.75E-2</v>
      </c>
      <c r="D1775" s="663">
        <f>C1775*D1754</f>
        <v>1165304.56812</v>
      </c>
      <c r="E1775" s="664"/>
      <c r="F1775" s="665"/>
    </row>
    <row r="1776" spans="1:6" x14ac:dyDescent="0.2">
      <c r="A1776" s="650" t="s">
        <v>911</v>
      </c>
      <c r="B1776" s="651" t="s">
        <v>651</v>
      </c>
      <c r="C1776" s="662">
        <v>2.5000000000000001E-3</v>
      </c>
      <c r="D1776" s="663">
        <f>C1776*D1740</f>
        <v>176561.29820000002</v>
      </c>
      <c r="E1776" s="664"/>
      <c r="F1776" s="665"/>
    </row>
    <row r="1777" spans="1:6" x14ac:dyDescent="0.2">
      <c r="A1777" s="666"/>
      <c r="B1777" s="645" t="s">
        <v>654</v>
      </c>
      <c r="C1777" s="646">
        <f>SUM(C1755:C1773)</f>
        <v>0.73249999999999993</v>
      </c>
      <c r="D1777" s="648">
        <f>SUM(D1755:D1776)</f>
        <v>32805089.205559999</v>
      </c>
      <c r="E1777" s="667"/>
      <c r="F1777" s="649"/>
    </row>
    <row r="1778" spans="1:6" x14ac:dyDescent="0.2">
      <c r="A1778" s="642"/>
      <c r="B1778" s="627" t="s">
        <v>656</v>
      </c>
      <c r="C1778" s="668"/>
      <c r="D1778" s="629"/>
      <c r="E1778" s="669"/>
      <c r="F1778" s="630"/>
    </row>
    <row r="1779" spans="1:6" x14ac:dyDescent="0.2">
      <c r="A1779" s="642" t="s">
        <v>660</v>
      </c>
      <c r="B1779" s="627" t="s">
        <v>343</v>
      </c>
      <c r="C1779" s="668">
        <v>0.01</v>
      </c>
      <c r="D1779" s="629">
        <f>C1779*D1740</f>
        <v>706245.19280000008</v>
      </c>
      <c r="E1779" s="669"/>
      <c r="F1779" s="630"/>
    </row>
    <row r="1780" spans="1:6" x14ac:dyDescent="0.2">
      <c r="A1780" s="642" t="s">
        <v>772</v>
      </c>
      <c r="B1780" s="627" t="s">
        <v>659</v>
      </c>
      <c r="C1780" s="668">
        <v>0.03</v>
      </c>
      <c r="D1780" s="629">
        <f>C1780*D1740</f>
        <v>2118735.5784</v>
      </c>
      <c r="E1780" s="669"/>
      <c r="F1780" s="630"/>
    </row>
    <row r="1781" spans="1:6" x14ac:dyDescent="0.2">
      <c r="A1781" s="642" t="s">
        <v>913</v>
      </c>
      <c r="B1781" s="627" t="s">
        <v>912</v>
      </c>
      <c r="C1781" s="668">
        <v>0.04</v>
      </c>
      <c r="D1781" s="629">
        <f>C1781*D1740</f>
        <v>2824980.7712000003</v>
      </c>
      <c r="E1781" s="669"/>
      <c r="F1781" s="630"/>
    </row>
    <row r="1782" spans="1:6" ht="42.75" x14ac:dyDescent="0.2">
      <c r="A1782" s="642" t="s">
        <v>926</v>
      </c>
      <c r="B1782" s="670" t="s">
        <v>132</v>
      </c>
      <c r="C1782" s="668">
        <v>7.0000000000000007E-2</v>
      </c>
      <c r="D1782" s="629">
        <f>C1782*D1740</f>
        <v>4943716.3496000003</v>
      </c>
      <c r="E1782" s="671"/>
      <c r="F1782" s="672" t="s">
        <v>771</v>
      </c>
    </row>
    <row r="1783" spans="1:6" x14ac:dyDescent="0.2">
      <c r="A1783" s="642"/>
      <c r="B1783" s="673" t="s">
        <v>914</v>
      </c>
      <c r="C1783" s="674"/>
      <c r="D1783" s="675">
        <f>D1740-D1742-SUM(D1749:D1753)-D1777-SUM(D1779:D1782)</f>
        <v>10075752.182440002</v>
      </c>
      <c r="E1783" s="629"/>
      <c r="F1783" s="630"/>
    </row>
    <row r="1784" spans="1:6" x14ac:dyDescent="0.2">
      <c r="A1784" s="676"/>
      <c r="B1784" s="677" t="s">
        <v>661</v>
      </c>
      <c r="C1784" s="195"/>
      <c r="D1784" s="678">
        <f>D1783+D1782</f>
        <v>15019468.532040002</v>
      </c>
      <c r="E1784" s="678"/>
      <c r="F1784" s="679"/>
    </row>
    <row r="1785" spans="1:6" x14ac:dyDescent="0.2">
      <c r="A1785" s="267"/>
      <c r="B1785" s="174" t="s">
        <v>403</v>
      </c>
      <c r="C1785" s="585">
        <v>46056</v>
      </c>
      <c r="D1785" s="177"/>
      <c r="E1785" s="177"/>
      <c r="F1785" s="177"/>
    </row>
    <row r="1786" spans="1:6" x14ac:dyDescent="0.2">
      <c r="A1786" s="267"/>
      <c r="B1786" s="174" t="s">
        <v>569</v>
      </c>
      <c r="C1786" s="978" t="s">
        <v>927</v>
      </c>
      <c r="D1786" s="956"/>
      <c r="E1786" s="956"/>
      <c r="F1786" s="957"/>
    </row>
    <row r="1787" spans="1:6" x14ac:dyDescent="0.2">
      <c r="A1787" s="267"/>
      <c r="B1787" s="174" t="s">
        <v>784</v>
      </c>
      <c r="C1787" s="978" t="s">
        <v>928</v>
      </c>
      <c r="D1787" s="956"/>
      <c r="E1787" s="956"/>
      <c r="F1787" s="957"/>
    </row>
    <row r="1788" spans="1:6" ht="57" customHeight="1" x14ac:dyDescent="0.2">
      <c r="A1788" s="267"/>
      <c r="B1788" s="174" t="s">
        <v>541</v>
      </c>
      <c r="C1788" s="915" t="s">
        <v>917</v>
      </c>
      <c r="D1788" s="916"/>
      <c r="E1788" s="916"/>
      <c r="F1788" s="917"/>
    </row>
    <row r="1789" spans="1:6" ht="85.5" customHeight="1" x14ac:dyDescent="0.2">
      <c r="A1789" s="267"/>
      <c r="B1789" s="174" t="s">
        <v>404</v>
      </c>
      <c r="C1789" s="958" t="s">
        <v>918</v>
      </c>
      <c r="D1789" s="959"/>
      <c r="E1789" s="959"/>
      <c r="F1789" s="960"/>
    </row>
    <row r="1790" spans="1:6" x14ac:dyDescent="0.2">
      <c r="A1790" s="114"/>
      <c r="B1790" s="21" t="s">
        <v>919</v>
      </c>
      <c r="C1790" s="940">
        <v>0.3</v>
      </c>
      <c r="D1790" s="941"/>
      <c r="E1790" s="941"/>
      <c r="F1790" s="942"/>
    </row>
    <row r="1791" spans="1:6" x14ac:dyDescent="0.2">
      <c r="A1791" s="589"/>
      <c r="B1791" s="590" t="s">
        <v>875</v>
      </c>
      <c r="C1791" s="977">
        <v>5.0000000000000001E-4</v>
      </c>
      <c r="D1791" s="961"/>
      <c r="E1791" s="961"/>
      <c r="F1791" s="962"/>
    </row>
    <row r="1792" spans="1:6" x14ac:dyDescent="0.2">
      <c r="A1792" s="114"/>
      <c r="B1792" s="591" t="s">
        <v>920</v>
      </c>
      <c r="C1792" s="946">
        <v>46229</v>
      </c>
      <c r="D1792" s="947"/>
      <c r="E1792" s="947"/>
      <c r="F1792" s="948"/>
    </row>
    <row r="1793" spans="1:10" ht="51" customHeight="1" x14ac:dyDescent="0.2">
      <c r="A1793" s="593"/>
      <c r="B1793" s="591" t="s">
        <v>792</v>
      </c>
      <c r="C1793" s="927" t="s">
        <v>921</v>
      </c>
      <c r="D1793" s="928"/>
      <c r="E1793" s="928"/>
      <c r="F1793" s="929"/>
    </row>
    <row r="1794" spans="1:10" ht="93" customHeight="1" x14ac:dyDescent="0.2">
      <c r="A1794" s="594"/>
      <c r="B1794" s="595" t="s">
        <v>546</v>
      </c>
      <c r="C1794" s="949" t="s">
        <v>922</v>
      </c>
      <c r="D1794" s="950"/>
      <c r="E1794" s="950"/>
      <c r="F1794" s="951"/>
    </row>
    <row r="1795" spans="1:10" ht="230.25" customHeight="1" x14ac:dyDescent="0.2">
      <c r="A1795" s="114"/>
      <c r="B1795" s="596" t="s">
        <v>796</v>
      </c>
      <c r="C1795" s="952" t="s">
        <v>923</v>
      </c>
      <c r="D1795" s="953"/>
      <c r="E1795" s="953"/>
      <c r="F1795" s="954"/>
    </row>
    <row r="1796" spans="1:10" ht="31.5" customHeight="1" x14ac:dyDescent="0.2">
      <c r="A1796" s="593"/>
      <c r="B1796" s="597" t="s">
        <v>798</v>
      </c>
      <c r="C1796" s="949" t="s">
        <v>929</v>
      </c>
      <c r="D1796" s="950"/>
      <c r="E1796" s="950"/>
      <c r="F1796" s="951"/>
    </row>
    <row r="1797" spans="1:10" ht="20.25" x14ac:dyDescent="0.2">
      <c r="A1797" s="907" t="s">
        <v>347</v>
      </c>
      <c r="B1797" s="908"/>
      <c r="C1797" s="908"/>
      <c r="D1797" s="908"/>
      <c r="E1797" s="908"/>
      <c r="F1797" s="909"/>
      <c r="G1797" s="250" t="s">
        <v>348</v>
      </c>
      <c r="H1797" s="250" t="s">
        <v>349</v>
      </c>
      <c r="I1797" s="250"/>
      <c r="J1797" s="251" t="s">
        <v>350</v>
      </c>
    </row>
    <row r="1798" spans="1:10" ht="49.5" customHeight="1" x14ac:dyDescent="0.2">
      <c r="A1798" s="804" t="s">
        <v>930</v>
      </c>
      <c r="B1798" s="805"/>
      <c r="C1798" s="805"/>
      <c r="D1798" s="805"/>
      <c r="E1798" s="805"/>
      <c r="F1798" s="806"/>
      <c r="G1798" s="252">
        <v>0.05</v>
      </c>
      <c r="H1798" s="584">
        <f>D1799-D1799*G1798</f>
        <v>4705731.9000000004</v>
      </c>
      <c r="I1798" s="584"/>
      <c r="J1798" s="253">
        <f>H1798-D1800-D1818-D1819-D1822-D1821-D1801</f>
        <v>129962.85999999987</v>
      </c>
    </row>
    <row r="1799" spans="1:10" ht="18.75" x14ac:dyDescent="0.2">
      <c r="A1799" s="173">
        <v>1</v>
      </c>
      <c r="B1799" s="254"/>
      <c r="C1799" s="175"/>
      <c r="D1799" s="798">
        <v>4953402</v>
      </c>
      <c r="E1799" s="799"/>
      <c r="F1799" s="934"/>
      <c r="G1799" s="252">
        <v>0.1</v>
      </c>
      <c r="H1799" s="584">
        <f>D1799-D1799*G1799</f>
        <v>4458061.8</v>
      </c>
      <c r="I1799" s="584"/>
      <c r="J1799" s="253">
        <f>H1799-D1800-D1818-D1819-D1822-D1821-D1801</f>
        <v>-117707.24000000069</v>
      </c>
    </row>
    <row r="1800" spans="1:10" ht="18.75" x14ac:dyDescent="0.2">
      <c r="A1800" s="493">
        <v>2</v>
      </c>
      <c r="B1800" s="494" t="s">
        <v>675</v>
      </c>
      <c r="C1800" s="495"/>
      <c r="D1800" s="684">
        <v>400000</v>
      </c>
      <c r="E1800" s="496"/>
      <c r="F1800" s="685" t="s">
        <v>676</v>
      </c>
      <c r="G1800" s="252">
        <v>0.15</v>
      </c>
      <c r="H1800" s="584">
        <f>D1799-D1799*G1800</f>
        <v>4210391.7</v>
      </c>
      <c r="I1800" s="584"/>
      <c r="J1800" s="253">
        <f>H1800-D1800-D1818-D1819-D1822-D1821-D1801</f>
        <v>-365377.34000000032</v>
      </c>
    </row>
    <row r="1801" spans="1:10" ht="18.75" x14ac:dyDescent="0.2">
      <c r="A1801" s="686" t="s">
        <v>623</v>
      </c>
      <c r="B1801" s="526" t="s">
        <v>931</v>
      </c>
      <c r="C1801" s="527"/>
      <c r="D1801" s="687">
        <v>1200000</v>
      </c>
      <c r="E1801" s="688"/>
      <c r="F1801" s="689"/>
      <c r="G1801" s="252"/>
      <c r="H1801" s="584"/>
      <c r="I1801" s="584"/>
      <c r="J1801" s="253"/>
    </row>
    <row r="1802" spans="1:10" ht="28.5" x14ac:dyDescent="0.2">
      <c r="A1802" s="550" t="s">
        <v>625</v>
      </c>
      <c r="B1802" s="551" t="s">
        <v>932</v>
      </c>
      <c r="C1802" s="552">
        <v>0.5</v>
      </c>
      <c r="D1802" s="553">
        <f>D1799*C1802</f>
        <v>2476701</v>
      </c>
      <c r="E1802" s="554"/>
      <c r="F1802" s="555"/>
    </row>
    <row r="1803" spans="1:10" ht="30" x14ac:dyDescent="0.2">
      <c r="A1803" s="556" t="s">
        <v>687</v>
      </c>
      <c r="B1803" s="557" t="s">
        <v>748</v>
      </c>
      <c r="C1803" s="558">
        <v>7.0000000000000007E-2</v>
      </c>
      <c r="D1803" s="559">
        <f>C1803*D1802</f>
        <v>173369.07</v>
      </c>
      <c r="E1803" s="560"/>
      <c r="F1803" s="561"/>
      <c r="G1803" s="615"/>
    </row>
    <row r="1804" spans="1:10" x14ac:dyDescent="0.2">
      <c r="A1804" s="556" t="s">
        <v>689</v>
      </c>
      <c r="B1804" s="557" t="s">
        <v>355</v>
      </c>
      <c r="C1804" s="558">
        <v>0.03</v>
      </c>
      <c r="D1804" s="559">
        <f>C1804*D1802</f>
        <v>74301.03</v>
      </c>
      <c r="E1804" s="560"/>
      <c r="F1804" s="561"/>
    </row>
    <row r="1805" spans="1:10" ht="30" x14ac:dyDescent="0.2">
      <c r="A1805" s="556" t="s">
        <v>691</v>
      </c>
      <c r="B1805" s="557" t="s">
        <v>712</v>
      </c>
      <c r="C1805" s="558">
        <v>0.04</v>
      </c>
      <c r="D1805" s="559">
        <f>D1802*C1805</f>
        <v>99068.040000000008</v>
      </c>
      <c r="E1805" s="561"/>
      <c r="F1805" s="561"/>
    </row>
    <row r="1806" spans="1:10" x14ac:dyDescent="0.2">
      <c r="A1806" s="556" t="s">
        <v>702</v>
      </c>
      <c r="B1806" s="557" t="s">
        <v>360</v>
      </c>
      <c r="C1806" s="558">
        <v>0.1</v>
      </c>
      <c r="D1806" s="559">
        <f>D1802*C1806</f>
        <v>247670.1</v>
      </c>
      <c r="E1806" s="560"/>
      <c r="F1806" s="561"/>
    </row>
    <row r="1807" spans="1:10" x14ac:dyDescent="0.2">
      <c r="A1807" s="556" t="s">
        <v>704</v>
      </c>
      <c r="B1807" s="557" t="s">
        <v>361</v>
      </c>
      <c r="C1807" s="558">
        <v>0.08</v>
      </c>
      <c r="D1807" s="559">
        <f>C1807*D1802</f>
        <v>198136.08000000002</v>
      </c>
      <c r="E1807" s="560"/>
      <c r="F1807" s="561"/>
    </row>
    <row r="1808" spans="1:10" x14ac:dyDescent="0.2">
      <c r="A1808" s="556" t="s">
        <v>751</v>
      </c>
      <c r="B1808" s="557" t="s">
        <v>364</v>
      </c>
      <c r="C1808" s="558">
        <v>0.06</v>
      </c>
      <c r="D1808" s="559">
        <f>C1808*D1802</f>
        <v>148602.06</v>
      </c>
      <c r="E1808" s="560"/>
      <c r="F1808" s="561"/>
    </row>
    <row r="1809" spans="1:6" x14ac:dyDescent="0.2">
      <c r="A1809" s="556" t="s">
        <v>752</v>
      </c>
      <c r="B1809" s="562" t="s">
        <v>366</v>
      </c>
      <c r="C1809" s="563">
        <v>7.0000000000000007E-2</v>
      </c>
      <c r="D1809" s="564">
        <f>D1802*C1809</f>
        <v>173369.07</v>
      </c>
      <c r="E1809" s="565"/>
      <c r="F1809" s="561"/>
    </row>
    <row r="1810" spans="1:6" x14ac:dyDescent="0.2">
      <c r="A1810" s="556" t="s">
        <v>753</v>
      </c>
      <c r="B1810" s="562" t="s">
        <v>368</v>
      </c>
      <c r="C1810" s="563">
        <v>0.06</v>
      </c>
      <c r="D1810" s="564">
        <f>D1802*C1810</f>
        <v>148602.06</v>
      </c>
      <c r="E1810" s="560"/>
      <c r="F1810" s="561"/>
    </row>
    <row r="1811" spans="1:6" x14ac:dyDescent="0.2">
      <c r="A1811" s="556" t="s">
        <v>755</v>
      </c>
      <c r="B1811" s="562" t="s">
        <v>601</v>
      </c>
      <c r="C1811" s="563">
        <v>0.06</v>
      </c>
      <c r="D1811" s="564">
        <f>C1811*D1802</f>
        <v>148602.06</v>
      </c>
      <c r="E1811" s="560"/>
      <c r="F1811" s="561"/>
    </row>
    <row r="1812" spans="1:6" x14ac:dyDescent="0.2">
      <c r="A1812" s="556" t="s">
        <v>756</v>
      </c>
      <c r="B1812" s="562" t="s">
        <v>260</v>
      </c>
      <c r="C1812" s="563">
        <v>0.06</v>
      </c>
      <c r="D1812" s="564">
        <f>C1812*D1802</f>
        <v>148602.06</v>
      </c>
      <c r="E1812" s="560"/>
      <c r="F1812" s="561"/>
    </row>
    <row r="1813" spans="1:6" x14ac:dyDescent="0.2">
      <c r="A1813" s="556" t="s">
        <v>757</v>
      </c>
      <c r="B1813" s="562" t="s">
        <v>272</v>
      </c>
      <c r="C1813" s="563">
        <v>0.05</v>
      </c>
      <c r="D1813" s="564">
        <f>C1813*D1802</f>
        <v>123835.05</v>
      </c>
      <c r="E1813" s="560"/>
      <c r="F1813" s="561"/>
    </row>
    <row r="1814" spans="1:6" x14ac:dyDescent="0.2">
      <c r="A1814" s="556" t="s">
        <v>758</v>
      </c>
      <c r="B1814" s="562" t="s">
        <v>261</v>
      </c>
      <c r="C1814" s="563">
        <v>0.06</v>
      </c>
      <c r="D1814" s="564">
        <f>C1814*D1802</f>
        <v>148602.06</v>
      </c>
      <c r="E1814" s="560"/>
      <c r="F1814" s="561"/>
    </row>
    <row r="1815" spans="1:6" x14ac:dyDescent="0.2">
      <c r="A1815" s="556" t="s">
        <v>759</v>
      </c>
      <c r="B1815" s="562" t="s">
        <v>262</v>
      </c>
      <c r="C1815" s="563">
        <v>0.05</v>
      </c>
      <c r="D1815" s="564">
        <f>C1815*D1802</f>
        <v>123835.05</v>
      </c>
      <c r="E1815" s="560"/>
      <c r="F1815" s="561"/>
    </row>
    <row r="1816" spans="1:6" x14ac:dyDescent="0.2">
      <c r="A1816" s="556" t="s">
        <v>760</v>
      </c>
      <c r="B1816" s="562" t="s">
        <v>341</v>
      </c>
      <c r="C1816" s="563">
        <v>0.1</v>
      </c>
      <c r="D1816" s="564">
        <f>C1816*D1802</f>
        <v>247670.1</v>
      </c>
      <c r="E1816" s="565"/>
      <c r="F1816" s="561"/>
    </row>
    <row r="1817" spans="1:6" ht="30" x14ac:dyDescent="0.2">
      <c r="A1817" s="556" t="s">
        <v>762</v>
      </c>
      <c r="B1817" s="562" t="s">
        <v>100</v>
      </c>
      <c r="C1817" s="563">
        <v>0.05</v>
      </c>
      <c r="D1817" s="564">
        <f>C1817*D1802</f>
        <v>123835.05</v>
      </c>
      <c r="E1817" s="566"/>
      <c r="F1817" s="560"/>
    </row>
    <row r="1818" spans="1:6" x14ac:dyDescent="0.2">
      <c r="A1818" s="550"/>
      <c r="B1818" s="567" t="s">
        <v>735</v>
      </c>
      <c r="C1818" s="568">
        <f>SUM(C1803:C1817)</f>
        <v>0.94000000000000028</v>
      </c>
      <c r="D1818" s="569">
        <f>SUM(D1803:D1817)</f>
        <v>2328098.9400000004</v>
      </c>
      <c r="E1818" s="570"/>
      <c r="F1818" s="554"/>
    </row>
    <row r="1819" spans="1:6" x14ac:dyDescent="0.2">
      <c r="A1819" s="550"/>
      <c r="B1819" s="567" t="s">
        <v>132</v>
      </c>
      <c r="C1819" s="568">
        <v>0.1</v>
      </c>
      <c r="D1819" s="569">
        <f>C1819*D1802</f>
        <v>247670.1</v>
      </c>
      <c r="E1819" s="570"/>
      <c r="F1819" s="554"/>
    </row>
    <row r="1820" spans="1:6" x14ac:dyDescent="0.2">
      <c r="A1820" s="550"/>
      <c r="B1820" s="567" t="s">
        <v>656</v>
      </c>
      <c r="C1820" s="568"/>
      <c r="D1820" s="569"/>
      <c r="E1820" s="570"/>
      <c r="F1820" s="554"/>
    </row>
    <row r="1821" spans="1:6" x14ac:dyDescent="0.2">
      <c r="A1821" s="550"/>
      <c r="B1821" s="567" t="s">
        <v>912</v>
      </c>
      <c r="C1821" s="568"/>
      <c r="D1821" s="569">
        <v>200000</v>
      </c>
      <c r="E1821" s="570"/>
      <c r="F1821" s="554" t="s">
        <v>933</v>
      </c>
    </row>
    <row r="1822" spans="1:6" ht="28.5" x14ac:dyDescent="0.2">
      <c r="A1822" s="550"/>
      <c r="B1822" s="567" t="s">
        <v>934</v>
      </c>
      <c r="C1822" s="568"/>
      <c r="D1822" s="569">
        <v>200000</v>
      </c>
      <c r="E1822" s="570"/>
      <c r="F1822" s="554" t="s">
        <v>935</v>
      </c>
    </row>
    <row r="1823" spans="1:6" ht="28.5" x14ac:dyDescent="0.2">
      <c r="A1823" s="550"/>
      <c r="B1823" s="567" t="s">
        <v>308</v>
      </c>
      <c r="C1823" s="568"/>
      <c r="D1823" s="569">
        <f>D1799-D1800-D1818-D1819-D1822-D1821-D1801</f>
        <v>377632.9599999995</v>
      </c>
      <c r="E1823" s="570"/>
      <c r="F1823" s="554"/>
    </row>
    <row r="1824" spans="1:6" ht="28.5" x14ac:dyDescent="0.2">
      <c r="A1824" s="571"/>
      <c r="B1824" s="572" t="s">
        <v>375</v>
      </c>
      <c r="C1824" s="573"/>
      <c r="D1824" s="574">
        <f>D1823+D1822</f>
        <v>577632.9599999995</v>
      </c>
      <c r="E1824" s="575"/>
      <c r="F1824" s="575"/>
    </row>
    <row r="1825" spans="1:10" x14ac:dyDescent="0.2">
      <c r="A1825" s="267"/>
      <c r="B1825" s="174" t="s">
        <v>403</v>
      </c>
      <c r="C1825" s="585">
        <v>46051</v>
      </c>
      <c r="D1825" s="177"/>
      <c r="E1825" s="177"/>
      <c r="F1825" s="177"/>
      <c r="G1825" s="1"/>
      <c r="H1825" s="586"/>
      <c r="I1825" s="586"/>
      <c r="J1825" s="587"/>
    </row>
    <row r="1826" spans="1:10" x14ac:dyDescent="0.2">
      <c r="A1826" s="267"/>
      <c r="B1826" s="174" t="s">
        <v>569</v>
      </c>
      <c r="C1826" s="978" t="s">
        <v>936</v>
      </c>
      <c r="D1826" s="956"/>
      <c r="E1826" s="956"/>
      <c r="F1826" s="957"/>
      <c r="G1826" s="1"/>
      <c r="H1826" s="3"/>
      <c r="I1826" s="3"/>
      <c r="J1826" s="1"/>
    </row>
    <row r="1827" spans="1:10" x14ac:dyDescent="0.2">
      <c r="A1827" s="267"/>
      <c r="B1827" s="174" t="s">
        <v>784</v>
      </c>
      <c r="C1827" s="978" t="s">
        <v>937</v>
      </c>
      <c r="D1827" s="956"/>
      <c r="E1827" s="956"/>
      <c r="F1827" s="957"/>
      <c r="G1827" s="1"/>
      <c r="H1827" s="3"/>
      <c r="I1827" s="3"/>
      <c r="J1827" s="1"/>
    </row>
    <row r="1828" spans="1:10" x14ac:dyDescent="0.2">
      <c r="A1828" s="267"/>
      <c r="B1828" s="174" t="s">
        <v>541</v>
      </c>
      <c r="C1828" s="994" t="s">
        <v>827</v>
      </c>
      <c r="D1828" s="995"/>
      <c r="E1828" s="995"/>
      <c r="F1828" s="996"/>
      <c r="G1828" s="1"/>
      <c r="H1828" s="3"/>
      <c r="I1828" s="3"/>
    </row>
    <row r="1829" spans="1:10" ht="59.25" customHeight="1" x14ac:dyDescent="0.2">
      <c r="A1829" s="267"/>
      <c r="B1829" s="174" t="s">
        <v>404</v>
      </c>
      <c r="C1829" s="952" t="s">
        <v>837</v>
      </c>
      <c r="D1829" s="953"/>
      <c r="E1829" s="953"/>
      <c r="F1829" s="954"/>
      <c r="G1829" s="1"/>
      <c r="H1829" s="3"/>
      <c r="I1829" s="3"/>
    </row>
    <row r="1830" spans="1:10" x14ac:dyDescent="0.2">
      <c r="A1830" s="114"/>
      <c r="B1830" s="21" t="s">
        <v>528</v>
      </c>
      <c r="C1830" s="940">
        <v>0.1</v>
      </c>
      <c r="D1830" s="941"/>
      <c r="E1830" s="941"/>
      <c r="F1830" s="942"/>
      <c r="G1830" s="1"/>
      <c r="H1830" s="3"/>
      <c r="I1830" s="3"/>
      <c r="J1830" s="1"/>
    </row>
    <row r="1831" spans="1:10" x14ac:dyDescent="0.2">
      <c r="A1831" s="589"/>
      <c r="B1831" s="590" t="s">
        <v>875</v>
      </c>
      <c r="C1831" s="999">
        <v>0.01</v>
      </c>
      <c r="D1831" s="944"/>
      <c r="E1831" s="944"/>
      <c r="F1831" s="945"/>
      <c r="G1831" s="1"/>
      <c r="H1831" s="3"/>
      <c r="I1831" s="3"/>
      <c r="J1831" s="1"/>
    </row>
    <row r="1832" spans="1:10" x14ac:dyDescent="0.2">
      <c r="A1832" s="114"/>
      <c r="B1832" s="591" t="s">
        <v>790</v>
      </c>
      <c r="C1832" s="946" t="s">
        <v>938</v>
      </c>
      <c r="D1832" s="947"/>
      <c r="E1832" s="947"/>
      <c r="F1832" s="948"/>
      <c r="G1832" s="587"/>
      <c r="H1832" s="592"/>
      <c r="I1832" s="592"/>
    </row>
    <row r="1833" spans="1:10" x14ac:dyDescent="0.2">
      <c r="A1833" s="690"/>
      <c r="B1833" s="691" t="s">
        <v>792</v>
      </c>
      <c r="C1833" s="1036" t="s">
        <v>939</v>
      </c>
      <c r="D1833" s="1037"/>
      <c r="E1833" s="1037"/>
      <c r="F1833" s="1038"/>
      <c r="G1833" s="587"/>
      <c r="H1833" s="592"/>
      <c r="I1833" s="592"/>
    </row>
    <row r="1834" spans="1:10" ht="31.5" x14ac:dyDescent="0.2">
      <c r="A1834" s="267"/>
      <c r="B1834" s="692" t="s">
        <v>794</v>
      </c>
      <c r="C1834" s="895" t="s">
        <v>940</v>
      </c>
      <c r="D1834" s="895"/>
      <c r="E1834" s="895"/>
      <c r="F1834" s="895"/>
      <c r="G1834" s="1"/>
      <c r="H1834" s="3"/>
      <c r="I1834" s="3"/>
    </row>
    <row r="1835" spans="1:10" ht="31.5" x14ac:dyDescent="0.2">
      <c r="A1835" s="267"/>
      <c r="B1835" s="692" t="s">
        <v>796</v>
      </c>
      <c r="C1835" s="895" t="s">
        <v>838</v>
      </c>
      <c r="D1835" s="895"/>
      <c r="E1835" s="895"/>
      <c r="F1835" s="895"/>
      <c r="G1835" s="1"/>
      <c r="H1835" s="3"/>
      <c r="I1835" s="3"/>
    </row>
    <row r="1836" spans="1:10" ht="31.5" x14ac:dyDescent="0.2">
      <c r="A1836" s="693"/>
      <c r="B1836" s="694" t="s">
        <v>798</v>
      </c>
      <c r="C1836" s="1039" t="s">
        <v>941</v>
      </c>
      <c r="D1836" s="1039"/>
      <c r="E1836" s="1039"/>
      <c r="F1836" s="1039"/>
      <c r="G1836" s="587"/>
      <c r="H1836" s="592"/>
      <c r="I1836" s="592"/>
    </row>
    <row r="1837" spans="1:10" ht="20.25" x14ac:dyDescent="0.2">
      <c r="A1837" s="1040" t="s">
        <v>347</v>
      </c>
      <c r="B1837" s="1040"/>
      <c r="C1837" s="1040"/>
      <c r="D1837" s="1040"/>
      <c r="E1837" s="1040"/>
      <c r="F1837" s="1040"/>
      <c r="G1837" s="182"/>
      <c r="H1837" s="182"/>
      <c r="I1837" s="182"/>
      <c r="J1837" s="183"/>
    </row>
    <row r="1838" spans="1:10" ht="60.75" customHeight="1" x14ac:dyDescent="0.2">
      <c r="A1838" s="802" t="s">
        <v>942</v>
      </c>
      <c r="B1838" s="802"/>
      <c r="C1838" s="802"/>
      <c r="D1838" s="802"/>
      <c r="E1838" s="802"/>
      <c r="F1838" s="802"/>
      <c r="G1838" s="181"/>
      <c r="H1838" s="695"/>
      <c r="I1838" s="695"/>
      <c r="J1838" s="179"/>
    </row>
    <row r="1839" spans="1:10" ht="18.75" x14ac:dyDescent="0.2">
      <c r="A1839" s="173">
        <v>1</v>
      </c>
      <c r="B1839" s="254"/>
      <c r="C1839" s="175"/>
      <c r="D1839" s="803">
        <v>4500000</v>
      </c>
      <c r="E1839" s="803"/>
      <c r="F1839" s="803"/>
      <c r="G1839" s="181"/>
      <c r="H1839" s="695"/>
      <c r="I1839" s="695"/>
      <c r="J1839" s="179"/>
    </row>
    <row r="1840" spans="1:10" ht="18.75" x14ac:dyDescent="0.2">
      <c r="A1840" s="493">
        <v>2</v>
      </c>
      <c r="B1840" s="494" t="s">
        <v>943</v>
      </c>
      <c r="C1840" s="495"/>
      <c r="D1840" s="684">
        <v>350000</v>
      </c>
      <c r="E1840" s="496"/>
      <c r="F1840" s="685"/>
      <c r="G1840" s="181"/>
      <c r="H1840" s="695"/>
      <c r="I1840" s="695"/>
      <c r="J1840" s="179"/>
    </row>
    <row r="1841" spans="1:10" ht="18.75" x14ac:dyDescent="0.2">
      <c r="A1841" s="502" t="s">
        <v>623</v>
      </c>
      <c r="B1841" s="503" t="s">
        <v>744</v>
      </c>
      <c r="C1841" s="504"/>
      <c r="D1841" s="696">
        <f>SUM(D1842:D1843)</f>
        <v>550000</v>
      </c>
      <c r="E1841" s="506"/>
      <c r="F1841" s="607"/>
      <c r="G1841" s="181"/>
      <c r="H1841" s="695"/>
      <c r="I1841" s="695"/>
      <c r="J1841" s="179"/>
    </row>
    <row r="1842" spans="1:10" ht="18.75" x14ac:dyDescent="0.2">
      <c r="A1842" s="508" t="s">
        <v>678</v>
      </c>
      <c r="B1842" s="509" t="s">
        <v>353</v>
      </c>
      <c r="C1842" s="510"/>
      <c r="D1842" s="511">
        <v>400000</v>
      </c>
      <c r="E1842" s="512"/>
      <c r="F1842" s="513"/>
      <c r="G1842" s="181"/>
      <c r="H1842" s="695"/>
      <c r="I1842" s="695"/>
      <c r="J1842" s="179"/>
    </row>
    <row r="1843" spans="1:10" x14ac:dyDescent="0.2">
      <c r="A1843" s="508" t="s">
        <v>680</v>
      </c>
      <c r="B1843" s="509" t="s">
        <v>681</v>
      </c>
      <c r="C1843" s="510"/>
      <c r="D1843" s="511">
        <v>150000</v>
      </c>
      <c r="E1843" s="512"/>
      <c r="F1843" s="513"/>
      <c r="H1843" s="180"/>
      <c r="I1843" s="180"/>
    </row>
    <row r="1844" spans="1:10" x14ac:dyDescent="0.2">
      <c r="A1844" s="686" t="s">
        <v>625</v>
      </c>
      <c r="B1844" s="526" t="s">
        <v>809</v>
      </c>
      <c r="C1844" s="527"/>
      <c r="D1844" s="687">
        <v>700000</v>
      </c>
      <c r="E1844" s="688"/>
      <c r="F1844" s="697"/>
      <c r="H1844" s="180"/>
      <c r="I1844" s="180"/>
    </row>
    <row r="1845" spans="1:10" ht="28.5" x14ac:dyDescent="0.2">
      <c r="A1845" s="550" t="s">
        <v>627</v>
      </c>
      <c r="B1845" s="551" t="s">
        <v>932</v>
      </c>
      <c r="C1845" s="552">
        <v>0.5</v>
      </c>
      <c r="D1845" s="553">
        <f>D1839*C1845</f>
        <v>2250000</v>
      </c>
      <c r="E1845" s="554"/>
      <c r="F1845" s="555"/>
      <c r="G1845" s="615"/>
      <c r="H1845" s="180"/>
      <c r="I1845" s="180"/>
    </row>
    <row r="1846" spans="1:10" ht="30" x14ac:dyDescent="0.2">
      <c r="A1846" s="556" t="s">
        <v>628</v>
      </c>
      <c r="B1846" s="557" t="s">
        <v>748</v>
      </c>
      <c r="C1846" s="558">
        <v>0.06</v>
      </c>
      <c r="D1846" s="559">
        <f>C1846*D1845</f>
        <v>135000</v>
      </c>
      <c r="E1846" s="560"/>
      <c r="F1846" s="561"/>
      <c r="H1846" s="180"/>
      <c r="I1846" s="180"/>
    </row>
    <row r="1847" spans="1:10" x14ac:dyDescent="0.2">
      <c r="A1847" s="556" t="s">
        <v>629</v>
      </c>
      <c r="B1847" s="557" t="s">
        <v>355</v>
      </c>
      <c r="C1847" s="558">
        <v>0.04</v>
      </c>
      <c r="D1847" s="559">
        <f>C1847*D1845</f>
        <v>90000</v>
      </c>
      <c r="E1847" s="560"/>
      <c r="F1847" s="561"/>
    </row>
    <row r="1848" spans="1:10" ht="30" x14ac:dyDescent="0.2">
      <c r="A1848" s="556" t="s">
        <v>630</v>
      </c>
      <c r="B1848" s="557" t="s">
        <v>712</v>
      </c>
      <c r="C1848" s="558">
        <v>0.05</v>
      </c>
      <c r="D1848" s="559">
        <f>D1845*C1848</f>
        <v>112500</v>
      </c>
      <c r="E1848" s="561"/>
      <c r="F1848" s="561"/>
    </row>
    <row r="1849" spans="1:10" x14ac:dyDescent="0.2">
      <c r="A1849" s="556" t="s">
        <v>632</v>
      </c>
      <c r="B1849" s="557" t="s">
        <v>597</v>
      </c>
      <c r="C1849" s="558">
        <v>0.05</v>
      </c>
      <c r="D1849" s="559">
        <f>C1849*D1845</f>
        <v>112500</v>
      </c>
      <c r="E1849" s="561"/>
      <c r="F1849" s="561"/>
    </row>
    <row r="1850" spans="1:10" x14ac:dyDescent="0.2">
      <c r="A1850" s="556" t="s">
        <v>634</v>
      </c>
      <c r="B1850" s="557" t="s">
        <v>360</v>
      </c>
      <c r="C1850" s="558">
        <v>7.0000000000000007E-2</v>
      </c>
      <c r="D1850" s="559">
        <f>D1845*C1850</f>
        <v>157500.00000000003</v>
      </c>
      <c r="E1850" s="560"/>
      <c r="F1850" s="561"/>
    </row>
    <row r="1851" spans="1:10" x14ac:dyDescent="0.2">
      <c r="A1851" s="556" t="s">
        <v>635</v>
      </c>
      <c r="B1851" s="557" t="s">
        <v>361</v>
      </c>
      <c r="C1851" s="558">
        <v>0.08</v>
      </c>
      <c r="D1851" s="559">
        <f>C1851*D1845</f>
        <v>180000</v>
      </c>
      <c r="E1851" s="560"/>
      <c r="F1851" s="561"/>
    </row>
    <row r="1852" spans="1:10" x14ac:dyDescent="0.2">
      <c r="A1852" s="556" t="s">
        <v>636</v>
      </c>
      <c r="B1852" s="557" t="s">
        <v>364</v>
      </c>
      <c r="C1852" s="558">
        <v>6.5000000000000002E-2</v>
      </c>
      <c r="D1852" s="559">
        <f>C1852*D1845</f>
        <v>146250</v>
      </c>
      <c r="E1852" s="560"/>
      <c r="F1852" s="561"/>
    </row>
    <row r="1853" spans="1:10" x14ac:dyDescent="0.2">
      <c r="A1853" s="556" t="s">
        <v>637</v>
      </c>
      <c r="B1853" s="562" t="s">
        <v>366</v>
      </c>
      <c r="C1853" s="563">
        <v>7.0000000000000007E-2</v>
      </c>
      <c r="D1853" s="564">
        <f>D1845*C1853</f>
        <v>157500.00000000003</v>
      </c>
      <c r="E1853" s="565"/>
      <c r="F1853" s="561"/>
    </row>
    <row r="1854" spans="1:10" x14ac:dyDescent="0.2">
      <c r="A1854" s="556" t="s">
        <v>638</v>
      </c>
      <c r="B1854" s="562" t="s">
        <v>368</v>
      </c>
      <c r="C1854" s="563">
        <v>7.0000000000000007E-2</v>
      </c>
      <c r="D1854" s="564">
        <f>D1845*C1854</f>
        <v>157500.00000000003</v>
      </c>
      <c r="E1854" s="560"/>
      <c r="F1854" s="561"/>
    </row>
    <row r="1855" spans="1:10" x14ac:dyDescent="0.2">
      <c r="A1855" s="556" t="s">
        <v>639</v>
      </c>
      <c r="B1855" s="562" t="s">
        <v>601</v>
      </c>
      <c r="C1855" s="563">
        <v>0.06</v>
      </c>
      <c r="D1855" s="564">
        <f>C1855*D1845</f>
        <v>135000</v>
      </c>
      <c r="E1855" s="560"/>
      <c r="F1855" s="561"/>
    </row>
    <row r="1856" spans="1:10" x14ac:dyDescent="0.2">
      <c r="A1856" s="556" t="s">
        <v>640</v>
      </c>
      <c r="B1856" s="562" t="s">
        <v>725</v>
      </c>
      <c r="C1856" s="563">
        <v>5.5E-2</v>
      </c>
      <c r="D1856" s="564">
        <f>C1856*D1845</f>
        <v>123750</v>
      </c>
      <c r="E1856" s="560"/>
      <c r="F1856" s="561"/>
    </row>
    <row r="1857" spans="1:9" x14ac:dyDescent="0.2">
      <c r="A1857" s="556" t="s">
        <v>641</v>
      </c>
      <c r="B1857" s="562" t="s">
        <v>260</v>
      </c>
      <c r="C1857" s="563">
        <v>0.06</v>
      </c>
      <c r="D1857" s="564">
        <f>C1857*D1845</f>
        <v>135000</v>
      </c>
      <c r="E1857" s="560"/>
      <c r="F1857" s="561"/>
    </row>
    <row r="1858" spans="1:9" x14ac:dyDescent="0.2">
      <c r="A1858" s="556" t="s">
        <v>643</v>
      </c>
      <c r="B1858" s="562" t="s">
        <v>261</v>
      </c>
      <c r="C1858" s="563">
        <v>6.5000000000000002E-2</v>
      </c>
      <c r="D1858" s="564">
        <f>C1858*D1845</f>
        <v>146250</v>
      </c>
      <c r="E1858" s="560"/>
      <c r="F1858" s="561"/>
    </row>
    <row r="1859" spans="1:9" x14ac:dyDescent="0.2">
      <c r="A1859" s="556" t="s">
        <v>644</v>
      </c>
      <c r="B1859" s="562" t="s">
        <v>273</v>
      </c>
      <c r="C1859" s="563">
        <v>0.03</v>
      </c>
      <c r="D1859" s="564">
        <f>C1859*D1845</f>
        <v>67500</v>
      </c>
      <c r="E1859" s="560"/>
      <c r="F1859" s="561"/>
    </row>
    <row r="1860" spans="1:9" x14ac:dyDescent="0.2">
      <c r="A1860" s="556" t="s">
        <v>645</v>
      </c>
      <c r="B1860" s="562" t="s">
        <v>262</v>
      </c>
      <c r="C1860" s="563">
        <v>0.03</v>
      </c>
      <c r="D1860" s="564">
        <f>C1860*D1845</f>
        <v>67500</v>
      </c>
      <c r="E1860" s="560"/>
      <c r="F1860" s="561"/>
    </row>
    <row r="1861" spans="1:9" x14ac:dyDescent="0.2">
      <c r="A1861" s="556" t="s">
        <v>646</v>
      </c>
      <c r="B1861" s="562" t="s">
        <v>341</v>
      </c>
      <c r="C1861" s="563">
        <v>7.0000000000000007E-2</v>
      </c>
      <c r="D1861" s="564">
        <f>C1861*D1845</f>
        <v>157500.00000000003</v>
      </c>
      <c r="E1861" s="565"/>
      <c r="F1861" s="561"/>
    </row>
    <row r="1862" spans="1:9" ht="30" x14ac:dyDescent="0.2">
      <c r="A1862" s="556" t="s">
        <v>647</v>
      </c>
      <c r="B1862" s="562" t="s">
        <v>100</v>
      </c>
      <c r="C1862" s="563">
        <v>0.05</v>
      </c>
      <c r="D1862" s="564">
        <f>C1862*D1845</f>
        <v>112500</v>
      </c>
      <c r="E1862" s="566"/>
      <c r="F1862" s="560"/>
    </row>
    <row r="1863" spans="1:9" x14ac:dyDescent="0.2">
      <c r="A1863" s="550"/>
      <c r="B1863" s="567" t="s">
        <v>735</v>
      </c>
      <c r="C1863" s="568">
        <f>SUM(C1846:C1862)</f>
        <v>0.97500000000000009</v>
      </c>
      <c r="D1863" s="569">
        <f>SUM(D1846:D1862)</f>
        <v>2193750</v>
      </c>
      <c r="E1863" s="570"/>
      <c r="F1863" s="554"/>
    </row>
    <row r="1864" spans="1:9" x14ac:dyDescent="0.2">
      <c r="A1864" s="550"/>
      <c r="B1864" s="567" t="s">
        <v>132</v>
      </c>
      <c r="C1864" s="568">
        <v>0.05</v>
      </c>
      <c r="D1864" s="569">
        <f>C1864*D1845</f>
        <v>112500</v>
      </c>
      <c r="E1864" s="570"/>
      <c r="F1864" s="554"/>
    </row>
    <row r="1865" spans="1:9" x14ac:dyDescent="0.2">
      <c r="A1865" s="550"/>
      <c r="B1865" s="567" t="s">
        <v>914</v>
      </c>
      <c r="C1865" s="568"/>
      <c r="D1865" s="569">
        <f>D1839-D1840-D1841-D1844-D1863-D1864</f>
        <v>593750</v>
      </c>
      <c r="E1865" s="570"/>
      <c r="F1865" s="554"/>
    </row>
    <row r="1866" spans="1:9" ht="28.5" x14ac:dyDescent="0.2">
      <c r="A1866" s="571"/>
      <c r="B1866" s="572" t="s">
        <v>375</v>
      </c>
      <c r="C1866" s="573"/>
      <c r="D1866" s="574">
        <f>D1865+D1864</f>
        <v>706250</v>
      </c>
      <c r="E1866" s="575"/>
      <c r="F1866" s="575"/>
    </row>
    <row r="1867" spans="1:9" ht="68.25" customHeight="1" x14ac:dyDescent="0.2">
      <c r="A1867" s="804" t="s">
        <v>944</v>
      </c>
      <c r="B1867" s="805"/>
      <c r="C1867" s="805"/>
      <c r="D1867" s="805"/>
      <c r="E1867" s="805"/>
      <c r="F1867" s="806"/>
    </row>
    <row r="1868" spans="1:9" ht="23.25" customHeight="1" x14ac:dyDescent="0.2">
      <c r="A1868" s="172"/>
      <c r="B1868" s="172"/>
      <c r="C1868" s="172"/>
      <c r="D1868" s="910">
        <f>D1869*0.05+D1869</f>
        <v>9599999.9970000014</v>
      </c>
      <c r="E1868" s="805"/>
      <c r="F1868" s="911"/>
      <c r="H1868" s="184">
        <v>10900000</v>
      </c>
    </row>
    <row r="1869" spans="1:9" x14ac:dyDescent="0.2">
      <c r="A1869" s="173">
        <v>1</v>
      </c>
      <c r="B1869" s="254" t="s">
        <v>352</v>
      </c>
      <c r="C1869" s="175"/>
      <c r="D1869" s="798">
        <v>9142857.1400000006</v>
      </c>
      <c r="E1869" s="799"/>
      <c r="F1869" s="800"/>
      <c r="G1869" s="615"/>
      <c r="H1869" s="698">
        <f>D1868/H1868</f>
        <v>0.88073394467889921</v>
      </c>
      <c r="I1869" s="698"/>
    </row>
    <row r="1870" spans="1:9" x14ac:dyDescent="0.2">
      <c r="A1870" s="173">
        <v>2</v>
      </c>
      <c r="B1870" s="254" t="s">
        <v>264</v>
      </c>
      <c r="C1870" s="255"/>
      <c r="D1870" s="256">
        <v>300000</v>
      </c>
      <c r="E1870" s="177"/>
      <c r="F1870" s="178"/>
    </row>
    <row r="1871" spans="1:9" x14ac:dyDescent="0.2">
      <c r="A1871" s="173">
        <v>3</v>
      </c>
      <c r="B1871" s="254" t="s">
        <v>681</v>
      </c>
      <c r="C1871" s="255"/>
      <c r="D1871" s="256">
        <v>155000</v>
      </c>
      <c r="E1871" s="177"/>
      <c r="F1871" s="1033" t="s">
        <v>945</v>
      </c>
    </row>
    <row r="1872" spans="1:9" x14ac:dyDescent="0.2">
      <c r="A1872" s="173">
        <v>4</v>
      </c>
      <c r="B1872" s="254" t="s">
        <v>353</v>
      </c>
      <c r="C1872" s="255"/>
      <c r="D1872" s="256">
        <v>275000</v>
      </c>
      <c r="E1872" s="176"/>
      <c r="F1872" s="1034"/>
    </row>
    <row r="1873" spans="1:7" ht="43.5" x14ac:dyDescent="0.2">
      <c r="A1873" s="173">
        <v>5</v>
      </c>
      <c r="B1873" s="257" t="s">
        <v>354</v>
      </c>
      <c r="C1873" s="258">
        <v>0.4</v>
      </c>
      <c r="D1873" s="259">
        <f>D1869*C1873</f>
        <v>3657142.8560000006</v>
      </c>
      <c r="E1873" s="177"/>
      <c r="F1873" s="178"/>
    </row>
    <row r="1874" spans="1:7" x14ac:dyDescent="0.2">
      <c r="A1874" s="173">
        <v>6</v>
      </c>
      <c r="B1874" s="260" t="s">
        <v>355</v>
      </c>
      <c r="C1874" s="258">
        <v>0.05</v>
      </c>
      <c r="D1874" s="261">
        <f>C1874*D1873</f>
        <v>182857.14280000003</v>
      </c>
      <c r="E1874" s="177"/>
      <c r="F1874" s="178"/>
    </row>
    <row r="1875" spans="1:7" x14ac:dyDescent="0.2">
      <c r="A1875" s="173">
        <v>7</v>
      </c>
      <c r="B1875" s="260" t="s">
        <v>356</v>
      </c>
      <c r="C1875" s="258">
        <v>0.08</v>
      </c>
      <c r="D1875" s="261">
        <f>D1873*C1875</f>
        <v>292571.42848000006</v>
      </c>
      <c r="E1875" s="178"/>
      <c r="F1875" s="178"/>
    </row>
    <row r="1876" spans="1:7" x14ac:dyDescent="0.2">
      <c r="A1876" s="173">
        <v>8</v>
      </c>
      <c r="B1876" s="260" t="s">
        <v>357</v>
      </c>
      <c r="C1876" s="258">
        <v>0.12</v>
      </c>
      <c r="D1876" s="261">
        <f>D1873*C1876</f>
        <v>438857.14272000006</v>
      </c>
      <c r="E1876" s="177"/>
      <c r="F1876" s="178"/>
    </row>
    <row r="1877" spans="1:7" x14ac:dyDescent="0.2">
      <c r="A1877" s="173">
        <v>9</v>
      </c>
      <c r="B1877" s="260" t="s">
        <v>290</v>
      </c>
      <c r="C1877" s="258">
        <v>0.03</v>
      </c>
      <c r="D1877" s="261">
        <f>C1877*D1873</f>
        <v>109714.28568000002</v>
      </c>
      <c r="E1877" s="177"/>
      <c r="F1877" s="178" t="s">
        <v>382</v>
      </c>
    </row>
    <row r="1878" spans="1:7" x14ac:dyDescent="0.2">
      <c r="A1878" s="173">
        <v>10</v>
      </c>
      <c r="B1878" s="260" t="s">
        <v>360</v>
      </c>
      <c r="C1878" s="258">
        <v>0.1</v>
      </c>
      <c r="D1878" s="261">
        <f>C1878*D1873</f>
        <v>365714.28560000006</v>
      </c>
      <c r="E1878" s="177"/>
      <c r="F1878" s="178" t="s">
        <v>946</v>
      </c>
    </row>
    <row r="1879" spans="1:7" x14ac:dyDescent="0.2">
      <c r="A1879" s="173">
        <v>11</v>
      </c>
      <c r="B1879" s="260" t="s">
        <v>947</v>
      </c>
      <c r="C1879" s="258">
        <v>0.1</v>
      </c>
      <c r="D1879" s="261">
        <f>C1879*D1873</f>
        <v>365714.28560000006</v>
      </c>
      <c r="E1879" s="177"/>
      <c r="F1879" s="178" t="s">
        <v>948</v>
      </c>
    </row>
    <row r="1880" spans="1:7" x14ac:dyDescent="0.2">
      <c r="A1880" s="173">
        <v>12</v>
      </c>
      <c r="B1880" s="260" t="s">
        <v>364</v>
      </c>
      <c r="C1880" s="258">
        <v>0.04</v>
      </c>
      <c r="D1880" s="261">
        <f>C1880*D1873</f>
        <v>146285.71424000003</v>
      </c>
      <c r="E1880" s="177"/>
      <c r="F1880" s="178" t="s">
        <v>949</v>
      </c>
      <c r="G1880" s="299"/>
    </row>
    <row r="1881" spans="1:7" x14ac:dyDescent="0.2">
      <c r="A1881" s="173">
        <v>13</v>
      </c>
      <c r="B1881" s="254" t="s">
        <v>950</v>
      </c>
      <c r="C1881" s="263">
        <v>0.02</v>
      </c>
      <c r="D1881" s="256">
        <f>D1873*C1881</f>
        <v>73142.857120000015</v>
      </c>
      <c r="E1881" s="176"/>
      <c r="F1881" s="1033" t="s">
        <v>951</v>
      </c>
    </row>
    <row r="1882" spans="1:7" x14ac:dyDescent="0.2">
      <c r="A1882" s="173">
        <v>14</v>
      </c>
      <c r="B1882" s="254" t="s">
        <v>952</v>
      </c>
      <c r="C1882" s="263">
        <v>0.02</v>
      </c>
      <c r="D1882" s="256">
        <f>C1882*D1873</f>
        <v>73142.857120000015</v>
      </c>
      <c r="E1882" s="176"/>
      <c r="F1882" s="1035"/>
    </row>
    <row r="1883" spans="1:7" x14ac:dyDescent="0.2">
      <c r="A1883" s="173">
        <v>15</v>
      </c>
      <c r="B1883" s="254" t="s">
        <v>953</v>
      </c>
      <c r="C1883" s="263">
        <v>0.02</v>
      </c>
      <c r="D1883" s="256">
        <f>D1873*C1883</f>
        <v>73142.857120000015</v>
      </c>
      <c r="E1883" s="177"/>
      <c r="F1883" s="1034"/>
    </row>
    <row r="1884" spans="1:7" x14ac:dyDescent="0.2">
      <c r="A1884" s="173">
        <v>16</v>
      </c>
      <c r="B1884" s="254" t="s">
        <v>954</v>
      </c>
      <c r="C1884" s="263">
        <v>0.05</v>
      </c>
      <c r="D1884" s="256">
        <f>C1884*D1873</f>
        <v>182857.14280000003</v>
      </c>
      <c r="E1884" s="177"/>
      <c r="F1884" s="438" t="s">
        <v>955</v>
      </c>
    </row>
    <row r="1885" spans="1:7" x14ac:dyDescent="0.2">
      <c r="A1885" s="173">
        <v>17</v>
      </c>
      <c r="B1885" s="254" t="s">
        <v>956</v>
      </c>
      <c r="C1885" s="263">
        <v>1.7000000000000001E-2</v>
      </c>
      <c r="D1885" s="256">
        <f>C1885*D1873</f>
        <v>62171.428552000012</v>
      </c>
      <c r="E1885" s="177"/>
      <c r="F1885" s="178" t="s">
        <v>957</v>
      </c>
    </row>
    <row r="1886" spans="1:7" x14ac:dyDescent="0.2">
      <c r="A1886" s="173">
        <v>18</v>
      </c>
      <c r="B1886" s="254" t="s">
        <v>958</v>
      </c>
      <c r="C1886" s="263">
        <v>0.05</v>
      </c>
      <c r="D1886" s="256">
        <f>C1886*D1873</f>
        <v>182857.14280000003</v>
      </c>
      <c r="E1886" s="177"/>
      <c r="F1886" s="438" t="s">
        <v>955</v>
      </c>
    </row>
    <row r="1887" spans="1:7" x14ac:dyDescent="0.2">
      <c r="A1887" s="173">
        <v>19</v>
      </c>
      <c r="B1887" s="254" t="s">
        <v>260</v>
      </c>
      <c r="C1887" s="263">
        <v>0.03</v>
      </c>
      <c r="D1887" s="256">
        <f>C1887*D1873</f>
        <v>109714.28568000002</v>
      </c>
      <c r="E1887" s="177"/>
      <c r="F1887" s="178" t="s">
        <v>371</v>
      </c>
    </row>
    <row r="1888" spans="1:7" x14ac:dyDescent="0.2">
      <c r="A1888" s="173">
        <v>20</v>
      </c>
      <c r="B1888" s="254" t="s">
        <v>261</v>
      </c>
      <c r="C1888" s="263">
        <v>2.5000000000000001E-2</v>
      </c>
      <c r="D1888" s="256">
        <f>C1888*D1873</f>
        <v>91428.571400000015</v>
      </c>
      <c r="E1888" s="177"/>
      <c r="F1888" s="178" t="s">
        <v>959</v>
      </c>
    </row>
    <row r="1889" spans="1:6" x14ac:dyDescent="0.2">
      <c r="A1889" s="173">
        <v>21</v>
      </c>
      <c r="B1889" s="254" t="s">
        <v>341</v>
      </c>
      <c r="C1889" s="263">
        <v>0.06</v>
      </c>
      <c r="D1889" s="256">
        <f>C1889*D1873</f>
        <v>219428.57136000003</v>
      </c>
      <c r="E1889" s="176"/>
      <c r="F1889" s="178" t="s">
        <v>960</v>
      </c>
    </row>
    <row r="1890" spans="1:6" ht="30" x14ac:dyDescent="0.2">
      <c r="A1890" s="173">
        <v>22</v>
      </c>
      <c r="B1890" s="254" t="s">
        <v>100</v>
      </c>
      <c r="C1890" s="263">
        <v>0.05</v>
      </c>
      <c r="D1890" s="256">
        <f>C1890*D1873</f>
        <v>182857.14280000003</v>
      </c>
      <c r="E1890" s="187"/>
      <c r="F1890" s="177"/>
    </row>
    <row r="1891" spans="1:6" x14ac:dyDescent="0.2">
      <c r="A1891" s="173"/>
      <c r="B1891" s="264" t="s">
        <v>374</v>
      </c>
      <c r="C1891" s="265">
        <f>SUM(C1874:C1890)</f>
        <v>0.86200000000000032</v>
      </c>
      <c r="D1891" s="266">
        <f>SUM(D1874:D1890)+SUM(D1870:D1872)</f>
        <v>3882457.1418720009</v>
      </c>
      <c r="E1891" s="187"/>
      <c r="F1891" s="177"/>
    </row>
    <row r="1892" spans="1:6" x14ac:dyDescent="0.2">
      <c r="A1892" s="173"/>
      <c r="B1892" s="264" t="s">
        <v>132</v>
      </c>
      <c r="C1892" s="265">
        <v>0.1</v>
      </c>
      <c r="D1892" s="256">
        <f>C1892*D1873</f>
        <v>365714.28560000006</v>
      </c>
      <c r="E1892" s="187"/>
      <c r="F1892" s="177"/>
    </row>
    <row r="1893" spans="1:6" ht="28.5" x14ac:dyDescent="0.2">
      <c r="A1893" s="267"/>
      <c r="B1893" s="264" t="s">
        <v>961</v>
      </c>
      <c r="C1893" s="265">
        <f>D1893/D1869</f>
        <v>0.47246562495539546</v>
      </c>
      <c r="D1893" s="256">
        <f>D1869-D1891-D1892-D1870-D1872</f>
        <v>4319685.7125279997</v>
      </c>
      <c r="E1893" s="177"/>
      <c r="F1893" s="177"/>
    </row>
    <row r="1894" spans="1:6" ht="28.5" x14ac:dyDescent="0.2">
      <c r="A1894" s="267"/>
      <c r="B1894" s="264" t="s">
        <v>375</v>
      </c>
      <c r="C1894" s="268">
        <f>D1894/D1869</f>
        <v>0.51246562495539549</v>
      </c>
      <c r="D1894" s="269">
        <f>D1893+D1892</f>
        <v>4685399.9981279997</v>
      </c>
      <c r="E1894" s="177"/>
      <c r="F1894" s="177"/>
    </row>
    <row r="1895" spans="1:6" x14ac:dyDescent="0.2">
      <c r="A1895" s="267"/>
      <c r="B1895" s="174" t="s">
        <v>569</v>
      </c>
      <c r="C1895" s="978" t="s">
        <v>962</v>
      </c>
      <c r="D1895" s="956"/>
      <c r="E1895" s="956"/>
      <c r="F1895" s="957"/>
    </row>
    <row r="1896" spans="1:6" x14ac:dyDescent="0.2">
      <c r="A1896" s="114"/>
      <c r="B1896" s="591" t="s">
        <v>790</v>
      </c>
      <c r="C1896" s="946" t="s">
        <v>963</v>
      </c>
      <c r="D1896" s="947"/>
      <c r="E1896" s="947"/>
      <c r="F1896" s="948"/>
    </row>
    <row r="1897" spans="1:6" ht="165.75" customHeight="1" x14ac:dyDescent="0.2">
      <c r="A1897" s="267"/>
      <c r="B1897" s="692" t="s">
        <v>964</v>
      </c>
      <c r="C1897" s="1024" t="s">
        <v>965</v>
      </c>
      <c r="D1897" s="1024"/>
      <c r="E1897" s="1024"/>
      <c r="F1897" s="1024"/>
    </row>
    <row r="1898" spans="1:6" ht="54" customHeight="1" x14ac:dyDescent="0.2">
      <c r="A1898" s="804" t="s">
        <v>966</v>
      </c>
      <c r="B1898" s="805"/>
      <c r="C1898" s="805"/>
      <c r="D1898" s="805"/>
      <c r="E1898" s="805"/>
      <c r="F1898" s="806"/>
    </row>
    <row r="1899" spans="1:6" x14ac:dyDescent="0.2">
      <c r="A1899" s="173">
        <v>1</v>
      </c>
      <c r="B1899" s="254" t="s">
        <v>352</v>
      </c>
      <c r="C1899" s="175"/>
      <c r="D1899" s="798">
        <v>900000</v>
      </c>
      <c r="E1899" s="799"/>
      <c r="F1899" s="800"/>
    </row>
    <row r="1900" spans="1:6" ht="29.25" x14ac:dyDescent="0.2">
      <c r="A1900" s="173">
        <v>2</v>
      </c>
      <c r="B1900" s="257" t="s">
        <v>394</v>
      </c>
      <c r="C1900" s="258">
        <v>0.7</v>
      </c>
      <c r="D1900" s="259">
        <f>D1899*C1900</f>
        <v>630000</v>
      </c>
      <c r="E1900" s="177"/>
      <c r="F1900" s="178"/>
    </row>
    <row r="1901" spans="1:6" x14ac:dyDescent="0.2">
      <c r="A1901" s="173">
        <v>3</v>
      </c>
      <c r="B1901" s="260" t="s">
        <v>355</v>
      </c>
      <c r="C1901" s="258">
        <v>0.05</v>
      </c>
      <c r="D1901" s="261">
        <f>C1901*D1900</f>
        <v>31500</v>
      </c>
      <c r="E1901" s="177"/>
      <c r="F1901" s="178"/>
    </row>
    <row r="1902" spans="1:6" x14ac:dyDescent="0.2">
      <c r="A1902" s="173">
        <v>4</v>
      </c>
      <c r="B1902" s="260" t="s">
        <v>356</v>
      </c>
      <c r="C1902" s="258">
        <v>0.06</v>
      </c>
      <c r="D1902" s="261">
        <f>D1900*C1902</f>
        <v>37800</v>
      </c>
      <c r="E1902" s="178"/>
      <c r="F1902" s="178" t="s">
        <v>338</v>
      </c>
    </row>
    <row r="1903" spans="1:6" x14ac:dyDescent="0.2">
      <c r="A1903" s="173">
        <v>5</v>
      </c>
      <c r="B1903" s="260" t="s">
        <v>70</v>
      </c>
      <c r="C1903" s="258">
        <v>0.08</v>
      </c>
      <c r="D1903" s="261">
        <f>D1900*C1903</f>
        <v>50400</v>
      </c>
      <c r="E1903" s="177"/>
      <c r="F1903" s="178" t="s">
        <v>131</v>
      </c>
    </row>
    <row r="1904" spans="1:6" x14ac:dyDescent="0.2">
      <c r="A1904" s="173">
        <v>6</v>
      </c>
      <c r="B1904" s="260" t="s">
        <v>267</v>
      </c>
      <c r="C1904" s="258">
        <v>0.05</v>
      </c>
      <c r="D1904" s="261">
        <f>C1904*D1900</f>
        <v>31500</v>
      </c>
      <c r="E1904" s="177"/>
      <c r="F1904" s="178" t="s">
        <v>967</v>
      </c>
    </row>
    <row r="1905" spans="1:6" x14ac:dyDescent="0.2">
      <c r="A1905" s="173">
        <v>7</v>
      </c>
      <c r="B1905" s="254" t="s">
        <v>396</v>
      </c>
      <c r="C1905" s="263">
        <v>0.3</v>
      </c>
      <c r="D1905" s="256">
        <f>C1905*D1900</f>
        <v>189000</v>
      </c>
      <c r="E1905" s="177"/>
      <c r="F1905" s="178" t="s">
        <v>804</v>
      </c>
    </row>
    <row r="1906" spans="1:6" x14ac:dyDescent="0.2">
      <c r="A1906" s="173">
        <v>8</v>
      </c>
      <c r="B1906" s="254" t="s">
        <v>17</v>
      </c>
      <c r="C1906" s="263">
        <v>0.17</v>
      </c>
      <c r="D1906" s="256">
        <f>C1906*D1900</f>
        <v>107100.00000000001</v>
      </c>
      <c r="E1906" s="177"/>
      <c r="F1906" s="178"/>
    </row>
    <row r="1907" spans="1:6" x14ac:dyDescent="0.2">
      <c r="A1907" s="173">
        <v>9</v>
      </c>
      <c r="B1907" s="254" t="s">
        <v>968</v>
      </c>
      <c r="C1907" s="263">
        <v>0.24</v>
      </c>
      <c r="D1907" s="256">
        <f>C1907*D1900</f>
        <v>151200</v>
      </c>
      <c r="E1907" s="177"/>
      <c r="F1907" s="178"/>
    </row>
    <row r="1908" spans="1:6" x14ac:dyDescent="0.2">
      <c r="A1908" s="173">
        <v>10</v>
      </c>
      <c r="B1908" s="254" t="s">
        <v>651</v>
      </c>
      <c r="C1908" s="263">
        <v>0.03</v>
      </c>
      <c r="D1908" s="256">
        <f>C1908*D1900</f>
        <v>18900</v>
      </c>
      <c r="E1908" s="177"/>
      <c r="F1908" s="178" t="s">
        <v>398</v>
      </c>
    </row>
    <row r="1909" spans="1:6" x14ac:dyDescent="0.2">
      <c r="A1909" s="173"/>
      <c r="B1909" s="264" t="s">
        <v>374</v>
      </c>
      <c r="C1909" s="265">
        <f>SUM(C1901:C1907)</f>
        <v>0.95000000000000007</v>
      </c>
      <c r="D1909" s="266">
        <f>SUM(D1901:D1908)</f>
        <v>617400</v>
      </c>
      <c r="E1909" s="187"/>
      <c r="F1909" s="177"/>
    </row>
    <row r="1910" spans="1:6" x14ac:dyDescent="0.2">
      <c r="A1910" s="173"/>
      <c r="B1910" s="264" t="s">
        <v>132</v>
      </c>
      <c r="C1910" s="265">
        <v>0.1</v>
      </c>
      <c r="D1910" s="256">
        <f>C1910*D1900</f>
        <v>63000</v>
      </c>
      <c r="E1910" s="187"/>
      <c r="F1910" s="177"/>
    </row>
    <row r="1911" spans="1:6" x14ac:dyDescent="0.2">
      <c r="A1911" s="267"/>
      <c r="B1911" s="264" t="s">
        <v>594</v>
      </c>
      <c r="C1911" s="265">
        <f>D1911/D1899</f>
        <v>0.24399999999999999</v>
      </c>
      <c r="D1911" s="256">
        <f>D1899-D1909-D1910</f>
        <v>219600</v>
      </c>
      <c r="E1911" s="177"/>
      <c r="F1911" s="177"/>
    </row>
    <row r="1912" spans="1:6" ht="28.5" x14ac:dyDescent="0.2">
      <c r="A1912" s="267"/>
      <c r="B1912" s="264" t="s">
        <v>375</v>
      </c>
      <c r="C1912" s="268">
        <f>D1912/D1899</f>
        <v>0.314</v>
      </c>
      <c r="D1912" s="269">
        <f>D1911+D1910</f>
        <v>282600</v>
      </c>
      <c r="E1912" s="177"/>
      <c r="F1912" s="177"/>
    </row>
    <row r="1913" spans="1:6" x14ac:dyDescent="0.2">
      <c r="A1913" s="281"/>
      <c r="B1913" s="281"/>
      <c r="C1913" s="281"/>
      <c r="D1913" s="281"/>
      <c r="E1913" s="282"/>
      <c r="F1913" s="281"/>
    </row>
    <row r="1914" spans="1:6" x14ac:dyDescent="0.2">
      <c r="A1914" s="281"/>
      <c r="B1914" s="283" t="s">
        <v>301</v>
      </c>
      <c r="C1914" s="284"/>
      <c r="D1914" s="281"/>
      <c r="E1914" s="282"/>
      <c r="F1914" s="281"/>
    </row>
    <row r="1915" spans="1:6" x14ac:dyDescent="0.2">
      <c r="A1915" s="281"/>
      <c r="B1915" s="281" t="s">
        <v>302</v>
      </c>
      <c r="C1915" s="801"/>
      <c r="D1915" s="801"/>
      <c r="E1915" s="801"/>
      <c r="F1915" s="801"/>
    </row>
    <row r="1916" spans="1:6" x14ac:dyDescent="0.2">
      <c r="A1916" s="281"/>
      <c r="B1916" s="281" t="s">
        <v>303</v>
      </c>
      <c r="C1916" s="801"/>
      <c r="D1916" s="801"/>
      <c r="E1916" s="801"/>
      <c r="F1916" s="801"/>
    </row>
    <row r="1917" spans="1:6" ht="55.5" customHeight="1" x14ac:dyDescent="0.2">
      <c r="A1917" s="804" t="s">
        <v>969</v>
      </c>
      <c r="B1917" s="805"/>
      <c r="C1917" s="805"/>
      <c r="D1917" s="805"/>
      <c r="E1917" s="805"/>
      <c r="F1917" s="806"/>
    </row>
    <row r="1918" spans="1:6" x14ac:dyDescent="0.2">
      <c r="A1918" s="173">
        <v>1</v>
      </c>
      <c r="B1918" s="254" t="s">
        <v>352</v>
      </c>
      <c r="C1918" s="175"/>
      <c r="D1918" s="798">
        <v>9000000</v>
      </c>
      <c r="E1918" s="799"/>
      <c r="F1918" s="800"/>
    </row>
    <row r="1919" spans="1:6" x14ac:dyDescent="0.2">
      <c r="A1919" s="173">
        <v>2</v>
      </c>
      <c r="B1919" s="254" t="s">
        <v>264</v>
      </c>
      <c r="C1919" s="255"/>
      <c r="D1919" s="256">
        <v>700000</v>
      </c>
      <c r="E1919" s="177"/>
      <c r="F1919" s="178"/>
    </row>
    <row r="1920" spans="1:6" x14ac:dyDescent="0.2">
      <c r="A1920" s="173">
        <v>3</v>
      </c>
      <c r="B1920" s="254" t="s">
        <v>681</v>
      </c>
      <c r="C1920" s="255"/>
      <c r="D1920" s="256">
        <v>150000</v>
      </c>
      <c r="E1920" s="177"/>
      <c r="F1920" s="178"/>
    </row>
    <row r="1921" spans="1:6" x14ac:dyDescent="0.2">
      <c r="A1921" s="173">
        <v>4</v>
      </c>
      <c r="B1921" s="254" t="s">
        <v>746</v>
      </c>
      <c r="C1921" s="255"/>
      <c r="D1921" s="256">
        <v>200000</v>
      </c>
      <c r="E1921" s="177"/>
      <c r="F1921" s="178"/>
    </row>
    <row r="1922" spans="1:6" x14ac:dyDescent="0.2">
      <c r="A1922" s="173">
        <v>5</v>
      </c>
      <c r="B1922" s="254" t="s">
        <v>745</v>
      </c>
      <c r="C1922" s="255"/>
      <c r="D1922" s="256">
        <v>200000</v>
      </c>
      <c r="E1922" s="177"/>
      <c r="F1922" s="178"/>
    </row>
    <row r="1923" spans="1:6" x14ac:dyDescent="0.2">
      <c r="A1923" s="173">
        <v>6</v>
      </c>
      <c r="B1923" s="254" t="s">
        <v>353</v>
      </c>
      <c r="C1923" s="255"/>
      <c r="D1923" s="256">
        <v>500000</v>
      </c>
      <c r="E1923" s="176"/>
      <c r="F1923" s="178"/>
    </row>
    <row r="1924" spans="1:6" x14ac:dyDescent="0.2">
      <c r="A1924" s="173">
        <v>7</v>
      </c>
      <c r="B1924" s="254" t="s">
        <v>970</v>
      </c>
      <c r="C1924" s="255"/>
      <c r="D1924" s="256">
        <v>1500000</v>
      </c>
      <c r="E1924" s="176"/>
      <c r="F1924" s="178"/>
    </row>
    <row r="1925" spans="1:6" ht="29.25" x14ac:dyDescent="0.2">
      <c r="A1925" s="173">
        <v>8</v>
      </c>
      <c r="B1925" s="257" t="s">
        <v>971</v>
      </c>
      <c r="C1925" s="258">
        <v>0.4</v>
      </c>
      <c r="D1925" s="259">
        <f>D1918*C1925</f>
        <v>3600000</v>
      </c>
      <c r="E1925" s="177"/>
      <c r="F1925" s="178"/>
    </row>
    <row r="1926" spans="1:6" x14ac:dyDescent="0.2">
      <c r="A1926" s="173">
        <v>9</v>
      </c>
      <c r="B1926" s="260" t="s">
        <v>355</v>
      </c>
      <c r="C1926" s="258">
        <v>0.04</v>
      </c>
      <c r="D1926" s="261">
        <f>C1926*D1925</f>
        <v>144000</v>
      </c>
      <c r="E1926" s="177"/>
      <c r="F1926" s="178"/>
    </row>
    <row r="1927" spans="1:6" x14ac:dyDescent="0.2">
      <c r="A1927" s="173">
        <v>10</v>
      </c>
      <c r="B1927" s="260" t="s">
        <v>356</v>
      </c>
      <c r="C1927" s="258">
        <v>0.05</v>
      </c>
      <c r="D1927" s="261">
        <f>D1925*C1927</f>
        <v>180000</v>
      </c>
      <c r="E1927" s="178"/>
      <c r="F1927" s="178"/>
    </row>
    <row r="1928" spans="1:6" x14ac:dyDescent="0.2">
      <c r="A1928" s="173">
        <v>11</v>
      </c>
      <c r="B1928" s="260" t="s">
        <v>357</v>
      </c>
      <c r="C1928" s="258">
        <v>0.08</v>
      </c>
      <c r="D1928" s="261">
        <f>D1925*C1928</f>
        <v>288000</v>
      </c>
      <c r="E1928" s="177"/>
      <c r="F1928" s="178"/>
    </row>
    <row r="1929" spans="1:6" x14ac:dyDescent="0.2">
      <c r="A1929" s="173">
        <v>12</v>
      </c>
      <c r="B1929" s="260" t="s">
        <v>290</v>
      </c>
      <c r="C1929" s="258">
        <v>3.5000000000000003E-2</v>
      </c>
      <c r="D1929" s="261">
        <f>C1929*D1925</f>
        <v>126000.00000000001</v>
      </c>
      <c r="E1929" s="177"/>
      <c r="F1929" s="178"/>
    </row>
    <row r="1930" spans="1:6" x14ac:dyDescent="0.2">
      <c r="A1930" s="173">
        <v>13</v>
      </c>
      <c r="B1930" s="260" t="s">
        <v>267</v>
      </c>
      <c r="C1930" s="258">
        <v>0.06</v>
      </c>
      <c r="D1930" s="261">
        <f>C1930*D1925</f>
        <v>216000</v>
      </c>
      <c r="E1930" s="177"/>
      <c r="F1930" s="178"/>
    </row>
    <row r="1931" spans="1:6" x14ac:dyDescent="0.2">
      <c r="A1931" s="173">
        <v>14</v>
      </c>
      <c r="B1931" s="260" t="s">
        <v>972</v>
      </c>
      <c r="C1931" s="258">
        <v>0.12</v>
      </c>
      <c r="D1931" s="261">
        <f>C1931*D1925</f>
        <v>432000</v>
      </c>
      <c r="E1931" s="177"/>
      <c r="F1931" s="178"/>
    </row>
    <row r="1932" spans="1:6" x14ac:dyDescent="0.2">
      <c r="A1932" s="173">
        <v>15</v>
      </c>
      <c r="B1932" s="260" t="s">
        <v>973</v>
      </c>
      <c r="C1932" s="258">
        <v>0.05</v>
      </c>
      <c r="D1932" s="261">
        <f>C1932*D1925</f>
        <v>180000</v>
      </c>
      <c r="E1932" s="177"/>
      <c r="F1932" s="178"/>
    </row>
    <row r="1933" spans="1:6" x14ac:dyDescent="0.2">
      <c r="A1933" s="173">
        <v>16</v>
      </c>
      <c r="B1933" s="254" t="s">
        <v>368</v>
      </c>
      <c r="C1933" s="263">
        <v>0.06</v>
      </c>
      <c r="D1933" s="256">
        <f>D1925*C1933</f>
        <v>216000</v>
      </c>
      <c r="E1933" s="177"/>
      <c r="F1933" s="178"/>
    </row>
    <row r="1934" spans="1:6" x14ac:dyDescent="0.2">
      <c r="A1934" s="173">
        <v>17</v>
      </c>
      <c r="B1934" s="254" t="s">
        <v>974</v>
      </c>
      <c r="C1934" s="263">
        <v>0.04</v>
      </c>
      <c r="D1934" s="256">
        <f>C1934*D1925</f>
        <v>144000</v>
      </c>
      <c r="E1934" s="177"/>
      <c r="F1934" s="178"/>
    </row>
    <row r="1935" spans="1:6" x14ac:dyDescent="0.2">
      <c r="A1935" s="173">
        <v>18</v>
      </c>
      <c r="B1935" s="254" t="s">
        <v>725</v>
      </c>
      <c r="C1935" s="263">
        <v>0.12</v>
      </c>
      <c r="D1935" s="256">
        <f>C1935*D1925</f>
        <v>432000</v>
      </c>
      <c r="E1935" s="177"/>
      <c r="F1935" s="178"/>
    </row>
    <row r="1936" spans="1:6" x14ac:dyDescent="0.2">
      <c r="A1936" s="173">
        <v>19</v>
      </c>
      <c r="B1936" s="254" t="s">
        <v>975</v>
      </c>
      <c r="C1936" s="263">
        <v>5.5E-2</v>
      </c>
      <c r="D1936" s="256">
        <f>C1936*D1925</f>
        <v>198000</v>
      </c>
      <c r="E1936" s="177"/>
      <c r="F1936" s="178"/>
    </row>
    <row r="1937" spans="1:10" x14ac:dyDescent="0.2">
      <c r="A1937" s="173">
        <v>20</v>
      </c>
      <c r="B1937" s="254" t="s">
        <v>272</v>
      </c>
      <c r="C1937" s="263">
        <v>0.04</v>
      </c>
      <c r="D1937" s="256">
        <f>C1937*D1925</f>
        <v>144000</v>
      </c>
      <c r="E1937" s="177"/>
      <c r="F1937" s="178"/>
    </row>
    <row r="1938" spans="1:10" x14ac:dyDescent="0.2">
      <c r="A1938" s="173">
        <v>21</v>
      </c>
      <c r="B1938" s="254" t="s">
        <v>261</v>
      </c>
      <c r="C1938" s="263">
        <v>0.04</v>
      </c>
      <c r="D1938" s="256">
        <f>C1938*D1925</f>
        <v>144000</v>
      </c>
      <c r="E1938" s="177"/>
      <c r="F1938" s="178"/>
    </row>
    <row r="1939" spans="1:10" x14ac:dyDescent="0.2">
      <c r="A1939" s="173">
        <v>22</v>
      </c>
      <c r="B1939" s="254" t="s">
        <v>341</v>
      </c>
      <c r="C1939" s="263">
        <v>7.0000000000000007E-2</v>
      </c>
      <c r="D1939" s="256">
        <f>C1939*D1925</f>
        <v>252000.00000000003</v>
      </c>
      <c r="E1939" s="176"/>
      <c r="F1939" s="178"/>
    </row>
    <row r="1940" spans="1:10" ht="30" x14ac:dyDescent="0.2">
      <c r="A1940" s="173">
        <v>23</v>
      </c>
      <c r="B1940" s="254" t="s">
        <v>100</v>
      </c>
      <c r="C1940" s="263">
        <v>0.05</v>
      </c>
      <c r="D1940" s="256">
        <f>C1940*D1925</f>
        <v>180000</v>
      </c>
      <c r="E1940" s="187"/>
      <c r="F1940" s="177"/>
    </row>
    <row r="1941" spans="1:10" x14ac:dyDescent="0.2">
      <c r="A1941" s="173"/>
      <c r="B1941" s="264" t="s">
        <v>132</v>
      </c>
      <c r="C1941" s="265">
        <v>0.05</v>
      </c>
      <c r="D1941" s="256">
        <f>C1941*D1925</f>
        <v>180000</v>
      </c>
      <c r="E1941" s="187"/>
      <c r="F1941" s="177"/>
    </row>
    <row r="1942" spans="1:10" x14ac:dyDescent="0.2">
      <c r="A1942" s="173"/>
      <c r="B1942" s="264" t="s">
        <v>374</v>
      </c>
      <c r="C1942" s="265">
        <f>SUM(C1926:C1940)</f>
        <v>0.91000000000000014</v>
      </c>
      <c r="D1942" s="266">
        <f>SUM(D1926:D1941)+SUM(D1919:D1924)</f>
        <v>6706000</v>
      </c>
      <c r="E1942" s="187"/>
      <c r="F1942" s="177"/>
    </row>
    <row r="1943" spans="1:10" ht="28.5" x14ac:dyDescent="0.2">
      <c r="A1943" s="267"/>
      <c r="B1943" s="264" t="s">
        <v>375</v>
      </c>
      <c r="C1943" s="268">
        <f>D1943/D1918</f>
        <v>0.2748888888888889</v>
      </c>
      <c r="D1943" s="269">
        <f>D1918-D1942+D1941</f>
        <v>2474000</v>
      </c>
      <c r="E1943" s="177"/>
      <c r="F1943" s="177"/>
    </row>
    <row r="1944" spans="1:10" x14ac:dyDescent="0.2">
      <c r="A1944" s="267"/>
      <c r="B1944" s="174" t="s">
        <v>569</v>
      </c>
      <c r="C1944" s="978" t="s">
        <v>976</v>
      </c>
      <c r="D1944" s="956"/>
      <c r="E1944" s="956"/>
      <c r="F1944" s="957"/>
    </row>
    <row r="1945" spans="1:10" x14ac:dyDescent="0.2">
      <c r="A1945" s="114"/>
      <c r="B1945" s="591" t="s">
        <v>790</v>
      </c>
      <c r="C1945" s="946" t="s">
        <v>977</v>
      </c>
      <c r="D1945" s="947"/>
      <c r="E1945" s="947"/>
      <c r="F1945" s="948"/>
    </row>
    <row r="1946" spans="1:10" x14ac:dyDescent="0.2">
      <c r="A1946" s="267"/>
      <c r="B1946" s="692" t="s">
        <v>964</v>
      </c>
      <c r="C1946" s="1024" t="s">
        <v>978</v>
      </c>
      <c r="D1946" s="1024"/>
      <c r="E1946" s="1024"/>
      <c r="F1946" s="1024"/>
    </row>
    <row r="1947" spans="1:10" ht="58.5" customHeight="1" x14ac:dyDescent="0.2">
      <c r="A1947" s="804" t="s">
        <v>979</v>
      </c>
      <c r="B1947" s="805"/>
      <c r="C1947" s="805"/>
      <c r="D1947" s="805"/>
      <c r="E1947" s="805"/>
      <c r="F1947" s="806"/>
      <c r="G1947" s="250" t="s">
        <v>348</v>
      </c>
      <c r="H1947" s="250" t="s">
        <v>349</v>
      </c>
      <c r="I1947" s="250"/>
      <c r="J1947" s="251" t="s">
        <v>350</v>
      </c>
    </row>
    <row r="1948" spans="1:10" ht="18.75" x14ac:dyDescent="0.2">
      <c r="A1948" s="173">
        <v>1</v>
      </c>
      <c r="B1948" s="254" t="s">
        <v>352</v>
      </c>
      <c r="C1948" s="175"/>
      <c r="D1948" s="798">
        <v>18830730</v>
      </c>
      <c r="E1948" s="799"/>
      <c r="F1948" s="800"/>
      <c r="G1948" s="252">
        <v>0.05</v>
      </c>
      <c r="H1948" s="584">
        <f>D1948-D1948*G1948</f>
        <v>17889193.5</v>
      </c>
      <c r="I1948" s="584"/>
      <c r="J1948" s="253">
        <f>H1948-D1971</f>
        <v>3326990.120000001</v>
      </c>
    </row>
    <row r="1949" spans="1:10" ht="18.75" x14ac:dyDescent="0.2">
      <c r="A1949" s="173">
        <v>2</v>
      </c>
      <c r="B1949" s="254" t="s">
        <v>980</v>
      </c>
      <c r="C1949" s="255"/>
      <c r="D1949" s="256">
        <v>700000</v>
      </c>
      <c r="E1949" s="177"/>
      <c r="F1949" s="178"/>
      <c r="G1949" s="252">
        <v>0.1</v>
      </c>
      <c r="H1949" s="584">
        <f>D1948-D1948*G1949</f>
        <v>16947657</v>
      </c>
      <c r="I1949" s="584"/>
      <c r="J1949" s="253">
        <f>H1949-D1971</f>
        <v>2385453.620000001</v>
      </c>
    </row>
    <row r="1950" spans="1:10" ht="31.5" x14ac:dyDescent="0.2">
      <c r="A1950" s="173">
        <v>3</v>
      </c>
      <c r="B1950" s="254" t="s">
        <v>981</v>
      </c>
      <c r="C1950" s="255"/>
      <c r="D1950" s="256">
        <v>3000000</v>
      </c>
      <c r="E1950" s="177"/>
      <c r="F1950" s="177" t="s">
        <v>982</v>
      </c>
      <c r="G1950" s="252">
        <v>0.15</v>
      </c>
      <c r="H1950" s="584">
        <f>D1948-D1948*G1950</f>
        <v>16006120.5</v>
      </c>
      <c r="I1950" s="584"/>
      <c r="J1950" s="253">
        <f>H1950-D1971</f>
        <v>1443917.120000001</v>
      </c>
    </row>
    <row r="1951" spans="1:10" ht="47.25" x14ac:dyDescent="0.2">
      <c r="A1951" s="173">
        <v>4</v>
      </c>
      <c r="B1951" s="254" t="s">
        <v>681</v>
      </c>
      <c r="C1951" s="255"/>
      <c r="D1951" s="256">
        <v>2100000</v>
      </c>
      <c r="E1951" s="177"/>
      <c r="F1951" s="178" t="s">
        <v>983</v>
      </c>
      <c r="G1951" s="252">
        <v>0.2</v>
      </c>
      <c r="H1951" s="584">
        <f>D1948-D1948*G1951</f>
        <v>15064584</v>
      </c>
      <c r="I1951" s="584"/>
      <c r="J1951" s="253">
        <f>H1951-D1971</f>
        <v>502380.62000000104</v>
      </c>
    </row>
    <row r="1952" spans="1:10" ht="31.5" x14ac:dyDescent="0.2">
      <c r="A1952" s="173">
        <v>5</v>
      </c>
      <c r="B1952" s="254" t="s">
        <v>984</v>
      </c>
      <c r="C1952" s="255"/>
      <c r="D1952" s="256">
        <v>3000000</v>
      </c>
      <c r="E1952" s="176"/>
      <c r="F1952" s="177" t="s">
        <v>985</v>
      </c>
    </row>
    <row r="1953" spans="1:6" ht="29.25" x14ac:dyDescent="0.2">
      <c r="A1953" s="173">
        <v>6</v>
      </c>
      <c r="B1953" s="257" t="s">
        <v>986</v>
      </c>
      <c r="C1953" s="258">
        <v>0.4</v>
      </c>
      <c r="D1953" s="259">
        <f>D1948*C1953</f>
        <v>7532292</v>
      </c>
      <c r="E1953" s="177"/>
      <c r="F1953" s="178"/>
    </row>
    <row r="1954" spans="1:6" x14ac:dyDescent="0.2">
      <c r="A1954" s="173">
        <v>7</v>
      </c>
      <c r="B1954" s="260" t="s">
        <v>355</v>
      </c>
      <c r="C1954" s="258">
        <v>0.04</v>
      </c>
      <c r="D1954" s="261">
        <f>C1954*D1953</f>
        <v>301291.68</v>
      </c>
      <c r="E1954" s="177"/>
      <c r="F1954" s="178"/>
    </row>
    <row r="1955" spans="1:6" x14ac:dyDescent="0.2">
      <c r="A1955" s="173">
        <v>8</v>
      </c>
      <c r="B1955" s="260" t="s">
        <v>356</v>
      </c>
      <c r="C1955" s="258">
        <v>0.05</v>
      </c>
      <c r="D1955" s="261">
        <f>D1953*C1955</f>
        <v>376614.60000000003</v>
      </c>
      <c r="E1955" s="178"/>
      <c r="F1955" s="178"/>
    </row>
    <row r="1956" spans="1:6" x14ac:dyDescent="0.2">
      <c r="A1956" s="173">
        <v>9</v>
      </c>
      <c r="B1956" s="260" t="s">
        <v>357</v>
      </c>
      <c r="C1956" s="258">
        <v>0.08</v>
      </c>
      <c r="D1956" s="261">
        <f>D1953*C1956</f>
        <v>602583.36</v>
      </c>
      <c r="E1956" s="177"/>
      <c r="F1956" s="178"/>
    </row>
    <row r="1957" spans="1:6" x14ac:dyDescent="0.2">
      <c r="A1957" s="173">
        <v>10</v>
      </c>
      <c r="B1957" s="260" t="s">
        <v>290</v>
      </c>
      <c r="C1957" s="258">
        <v>3.5000000000000003E-2</v>
      </c>
      <c r="D1957" s="261">
        <f>C1957*D1953</f>
        <v>263630.22000000003</v>
      </c>
      <c r="E1957" s="177"/>
      <c r="F1957" s="178"/>
    </row>
    <row r="1958" spans="1:6" x14ac:dyDescent="0.2">
      <c r="A1958" s="173">
        <v>11</v>
      </c>
      <c r="B1958" s="260" t="s">
        <v>987</v>
      </c>
      <c r="C1958" s="258">
        <v>0</v>
      </c>
      <c r="D1958" s="261">
        <f>C1958*D1953</f>
        <v>0</v>
      </c>
      <c r="E1958" s="177"/>
      <c r="F1958" s="178" t="s">
        <v>988</v>
      </c>
    </row>
    <row r="1959" spans="1:6" x14ac:dyDescent="0.2">
      <c r="A1959" s="173">
        <v>12</v>
      </c>
      <c r="B1959" s="260" t="s">
        <v>292</v>
      </c>
      <c r="C1959" s="258">
        <v>7.0000000000000007E-2</v>
      </c>
      <c r="D1959" s="261">
        <f>C1959*D1953</f>
        <v>527260.44000000006</v>
      </c>
      <c r="E1959" s="177"/>
      <c r="F1959" s="178"/>
    </row>
    <row r="1960" spans="1:6" x14ac:dyDescent="0.2">
      <c r="A1960" s="173">
        <v>13</v>
      </c>
      <c r="B1960" s="260" t="s">
        <v>989</v>
      </c>
      <c r="C1960" s="258">
        <v>0.05</v>
      </c>
      <c r="D1960" s="261">
        <f>C1960*D1953</f>
        <v>376614.60000000003</v>
      </c>
      <c r="E1960" s="177"/>
      <c r="F1960" s="178"/>
    </row>
    <row r="1961" spans="1:6" x14ac:dyDescent="0.2">
      <c r="A1961" s="173">
        <v>14</v>
      </c>
      <c r="B1961" s="254" t="s">
        <v>990</v>
      </c>
      <c r="C1961" s="258">
        <v>0.05</v>
      </c>
      <c r="D1961" s="261">
        <f>C1961*D1953</f>
        <v>376614.60000000003</v>
      </c>
      <c r="E1961" s="177"/>
      <c r="F1961" s="178"/>
    </row>
    <row r="1962" spans="1:6" x14ac:dyDescent="0.2">
      <c r="A1962" s="173">
        <v>15</v>
      </c>
      <c r="B1962" s="254" t="s">
        <v>952</v>
      </c>
      <c r="C1962" s="258">
        <v>0.05</v>
      </c>
      <c r="D1962" s="261">
        <f>C1962*D1953</f>
        <v>376614.60000000003</v>
      </c>
      <c r="E1962" s="177"/>
      <c r="F1962" s="178"/>
    </row>
    <row r="1963" spans="1:6" x14ac:dyDescent="0.2">
      <c r="A1963" s="173">
        <v>16</v>
      </c>
      <c r="B1963" s="254" t="s">
        <v>368</v>
      </c>
      <c r="C1963" s="263">
        <v>0.06</v>
      </c>
      <c r="D1963" s="256">
        <f>D1953*C1963</f>
        <v>451937.51999999996</v>
      </c>
      <c r="E1963" s="177"/>
      <c r="F1963" s="178"/>
    </row>
    <row r="1964" spans="1:6" x14ac:dyDescent="0.2">
      <c r="A1964" s="173">
        <v>17</v>
      </c>
      <c r="B1964" s="254" t="s">
        <v>991</v>
      </c>
      <c r="C1964" s="263">
        <v>0.04</v>
      </c>
      <c r="D1964" s="256">
        <f>C1964*D1953</f>
        <v>301291.68</v>
      </c>
      <c r="E1964" s="177"/>
      <c r="F1964" s="178"/>
    </row>
    <row r="1965" spans="1:6" x14ac:dyDescent="0.2">
      <c r="A1965" s="173">
        <v>18</v>
      </c>
      <c r="B1965" s="254" t="s">
        <v>725</v>
      </c>
      <c r="C1965" s="263">
        <v>0</v>
      </c>
      <c r="D1965" s="256">
        <f>C1965*D1953</f>
        <v>0</v>
      </c>
      <c r="E1965" s="177"/>
      <c r="F1965" s="178" t="s">
        <v>992</v>
      </c>
    </row>
    <row r="1966" spans="1:6" x14ac:dyDescent="0.2">
      <c r="A1966" s="173">
        <v>19</v>
      </c>
      <c r="B1966" s="254" t="s">
        <v>260</v>
      </c>
      <c r="C1966" s="263">
        <v>0.04</v>
      </c>
      <c r="D1966" s="256">
        <f>C1966*D1953</f>
        <v>301291.68</v>
      </c>
      <c r="E1966" s="177"/>
      <c r="F1966" s="178"/>
    </row>
    <row r="1967" spans="1:6" x14ac:dyDescent="0.2">
      <c r="A1967" s="173">
        <v>21</v>
      </c>
      <c r="B1967" s="254" t="s">
        <v>261</v>
      </c>
      <c r="C1967" s="263">
        <v>0</v>
      </c>
      <c r="D1967" s="256">
        <f>C1967*D1953</f>
        <v>0</v>
      </c>
      <c r="E1967" s="177"/>
      <c r="F1967" s="178"/>
    </row>
    <row r="1968" spans="1:6" x14ac:dyDescent="0.2">
      <c r="A1968" s="173">
        <v>22</v>
      </c>
      <c r="B1968" s="254" t="s">
        <v>341</v>
      </c>
      <c r="C1968" s="263">
        <v>0.1</v>
      </c>
      <c r="D1968" s="256">
        <f>C1968*D1953</f>
        <v>753229.20000000007</v>
      </c>
      <c r="E1968" s="176"/>
      <c r="F1968" s="178"/>
    </row>
    <row r="1969" spans="1:10" ht="30" x14ac:dyDescent="0.2">
      <c r="A1969" s="173">
        <v>23</v>
      </c>
      <c r="B1969" s="254" t="s">
        <v>100</v>
      </c>
      <c r="C1969" s="263">
        <v>0.05</v>
      </c>
      <c r="D1969" s="256">
        <f>C1969*D1953</f>
        <v>376614.60000000003</v>
      </c>
      <c r="E1969" s="187"/>
      <c r="F1969" s="177"/>
    </row>
    <row r="1970" spans="1:10" x14ac:dyDescent="0.2">
      <c r="A1970" s="173"/>
      <c r="B1970" s="264" t="s">
        <v>132</v>
      </c>
      <c r="C1970" s="265">
        <v>0.05</v>
      </c>
      <c r="D1970" s="256">
        <f>C1970*D1953</f>
        <v>376614.60000000003</v>
      </c>
      <c r="E1970" s="187"/>
      <c r="F1970" s="177"/>
    </row>
    <row r="1971" spans="1:10" x14ac:dyDescent="0.2">
      <c r="A1971" s="173"/>
      <c r="B1971" s="264" t="s">
        <v>374</v>
      </c>
      <c r="C1971" s="265">
        <f>SUM(C1954:C1969)</f>
        <v>0.71500000000000008</v>
      </c>
      <c r="D1971" s="266">
        <f>SUM(D1954:D1970)+SUM(D1949:D1952)</f>
        <v>14562203.379999999</v>
      </c>
      <c r="E1971" s="187"/>
      <c r="F1971" s="177"/>
    </row>
    <row r="1972" spans="1:10" ht="28.5" x14ac:dyDescent="0.2">
      <c r="A1972" s="267"/>
      <c r="B1972" s="264" t="s">
        <v>375</v>
      </c>
      <c r="C1972" s="699">
        <f>D1972/D1948</f>
        <v>0.24667876497618524</v>
      </c>
      <c r="D1972" s="700">
        <f>D1948-D1971+D1970</f>
        <v>4645141.2200000007</v>
      </c>
      <c r="E1972" s="433"/>
      <c r="F1972" s="433"/>
    </row>
    <row r="1973" spans="1:10" ht="30" x14ac:dyDescent="0.2">
      <c r="A1973" s="267"/>
      <c r="B1973" s="701" t="s">
        <v>993</v>
      </c>
      <c r="C1973" s="702"/>
      <c r="D1973" s="703">
        <v>500000</v>
      </c>
      <c r="E1973" s="117"/>
      <c r="F1973" s="117"/>
    </row>
    <row r="1974" spans="1:10" x14ac:dyDescent="0.2">
      <c r="A1974" s="267"/>
      <c r="B1974" s="704" t="s">
        <v>994</v>
      </c>
      <c r="C1974" s="702"/>
      <c r="D1974" s="703">
        <v>190000</v>
      </c>
      <c r="E1974" s="117"/>
      <c r="F1974" s="117"/>
    </row>
    <row r="1975" spans="1:10" ht="18.75" x14ac:dyDescent="0.2">
      <c r="A1975" s="441"/>
      <c r="B1975" s="705" t="s">
        <v>995</v>
      </c>
      <c r="C1975" s="706"/>
      <c r="D1975" s="707">
        <f>D1972-D1973-D1974</f>
        <v>3955141.2200000007</v>
      </c>
      <c r="E1975" s="117"/>
      <c r="F1975" s="117"/>
    </row>
    <row r="1976" spans="1:10" ht="29.25" customHeight="1" x14ac:dyDescent="0.2">
      <c r="A1976" s="267"/>
      <c r="B1976" s="436" t="s">
        <v>569</v>
      </c>
      <c r="C1976" s="1025" t="s">
        <v>996</v>
      </c>
      <c r="D1976" s="1026"/>
      <c r="E1976" s="1026"/>
      <c r="F1976" s="1027"/>
    </row>
    <row r="1977" spans="1:10" x14ac:dyDescent="0.2">
      <c r="A1977" s="114"/>
      <c r="B1977" s="591" t="s">
        <v>790</v>
      </c>
      <c r="C1977" s="946">
        <v>46142</v>
      </c>
      <c r="D1977" s="947"/>
      <c r="E1977" s="947"/>
      <c r="F1977" s="948"/>
    </row>
    <row r="1978" spans="1:10" ht="51.75" customHeight="1" x14ac:dyDescent="0.2">
      <c r="A1978" s="114"/>
      <c r="B1978" s="597" t="s">
        <v>997</v>
      </c>
      <c r="C1978" s="1028" t="s">
        <v>998</v>
      </c>
      <c r="D1978" s="1028"/>
      <c r="E1978" s="1028"/>
      <c r="F1978" s="1029"/>
    </row>
    <row r="1979" spans="1:10" x14ac:dyDescent="0.2">
      <c r="A1979" s="114"/>
      <c r="B1979" s="597" t="s">
        <v>831</v>
      </c>
      <c r="C1979" s="1030" t="s">
        <v>999</v>
      </c>
      <c r="D1979" s="1031"/>
      <c r="E1979" s="1031"/>
      <c r="F1979" s="1032"/>
    </row>
    <row r="1980" spans="1:10" ht="134.25" customHeight="1" x14ac:dyDescent="0.2">
      <c r="A1980" s="708"/>
      <c r="B1980" s="709" t="s">
        <v>964</v>
      </c>
      <c r="C1980" s="979" t="s">
        <v>1000</v>
      </c>
      <c r="D1980" s="979"/>
      <c r="E1980" s="979"/>
      <c r="F1980" s="979"/>
    </row>
    <row r="1981" spans="1:10" ht="45" customHeight="1" x14ac:dyDescent="0.2">
      <c r="A1981" s="804" t="s">
        <v>1001</v>
      </c>
      <c r="B1981" s="805"/>
      <c r="C1981" s="805"/>
      <c r="D1981" s="805"/>
      <c r="E1981" s="805"/>
      <c r="F1981" s="806"/>
      <c r="G1981" s="250" t="s">
        <v>348</v>
      </c>
      <c r="H1981" s="250" t="s">
        <v>349</v>
      </c>
      <c r="I1981" s="250"/>
      <c r="J1981" s="251" t="s">
        <v>350</v>
      </c>
    </row>
    <row r="1982" spans="1:10" ht="18.75" x14ac:dyDescent="0.2">
      <c r="A1982" s="173">
        <v>1</v>
      </c>
      <c r="B1982" s="254" t="s">
        <v>352</v>
      </c>
      <c r="C1982" s="175"/>
      <c r="D1982" s="798">
        <v>16286666.67</v>
      </c>
      <c r="E1982" s="799"/>
      <c r="F1982" s="800"/>
      <c r="G1982" s="252">
        <v>0.05</v>
      </c>
      <c r="H1982" s="584">
        <f>D1982-D1982*G1982</f>
        <v>15472333.3365</v>
      </c>
      <c r="I1982" s="584"/>
      <c r="J1982" s="253">
        <f>H1982-D2011</f>
        <v>5093983.3347750027</v>
      </c>
    </row>
    <row r="1983" spans="1:10" ht="18.75" x14ac:dyDescent="0.2">
      <c r="A1983" s="173">
        <v>2</v>
      </c>
      <c r="B1983" s="254" t="s">
        <v>1002</v>
      </c>
      <c r="C1983" s="255"/>
      <c r="D1983" s="256">
        <v>700000</v>
      </c>
      <c r="E1983" s="177"/>
      <c r="F1983" s="178"/>
      <c r="G1983" s="252">
        <v>0.1</v>
      </c>
      <c r="H1983" s="584">
        <f>D1982-D1982*G1983</f>
        <v>14658000.003</v>
      </c>
      <c r="I1983" s="584"/>
      <c r="J1983" s="253">
        <f>H1983-D2011</f>
        <v>4279650.001275003</v>
      </c>
    </row>
    <row r="1984" spans="1:10" ht="18.75" x14ac:dyDescent="0.2">
      <c r="A1984" s="173">
        <v>3</v>
      </c>
      <c r="B1984" s="254" t="s">
        <v>353</v>
      </c>
      <c r="C1984" s="255"/>
      <c r="D1984" s="256">
        <v>600000</v>
      </c>
      <c r="E1984" s="177"/>
      <c r="F1984" s="178" t="s">
        <v>1003</v>
      </c>
      <c r="G1984" s="252">
        <v>0.15</v>
      </c>
      <c r="H1984" s="584">
        <f>D1982-D1982*G1984</f>
        <v>13843666.669500001</v>
      </c>
      <c r="I1984" s="584"/>
      <c r="J1984" s="253">
        <f>H1984-D2011</f>
        <v>3465316.6677750032</v>
      </c>
    </row>
    <row r="1985" spans="1:10" ht="18.75" x14ac:dyDescent="0.2">
      <c r="A1985" s="173">
        <v>4</v>
      </c>
      <c r="B1985" s="254" t="s">
        <v>745</v>
      </c>
      <c r="C1985" s="255"/>
      <c r="D1985" s="256">
        <v>250000</v>
      </c>
      <c r="E1985" s="177"/>
      <c r="F1985" s="178" t="s">
        <v>1003</v>
      </c>
      <c r="G1985" s="252"/>
      <c r="H1985" s="584"/>
      <c r="I1985" s="584"/>
      <c r="J1985" s="253"/>
    </row>
    <row r="1986" spans="1:10" x14ac:dyDescent="0.2">
      <c r="A1986" s="173">
        <v>5</v>
      </c>
      <c r="B1986" s="254" t="s">
        <v>746</v>
      </c>
      <c r="C1986" s="255"/>
      <c r="D1986" s="256">
        <v>200000</v>
      </c>
      <c r="E1986" s="177"/>
      <c r="F1986" s="178" t="s">
        <v>1003</v>
      </c>
    </row>
    <row r="1987" spans="1:10" x14ac:dyDescent="0.2">
      <c r="A1987" s="173">
        <v>6</v>
      </c>
      <c r="B1987" s="254" t="s">
        <v>681</v>
      </c>
      <c r="C1987" s="255"/>
      <c r="D1987" s="256">
        <v>200000</v>
      </c>
      <c r="E1987" s="177"/>
      <c r="F1987" s="178" t="s">
        <v>1003</v>
      </c>
    </row>
    <row r="1988" spans="1:10" ht="29.25" x14ac:dyDescent="0.2">
      <c r="A1988" s="173">
        <v>7</v>
      </c>
      <c r="B1988" s="257" t="s">
        <v>971</v>
      </c>
      <c r="C1988" s="258">
        <v>0.5</v>
      </c>
      <c r="D1988" s="259">
        <f>D1982*C1988</f>
        <v>8143333.335</v>
      </c>
      <c r="E1988" s="177"/>
      <c r="F1988" s="178"/>
    </row>
    <row r="1989" spans="1:10" x14ac:dyDescent="0.2">
      <c r="A1989" s="173">
        <v>8</v>
      </c>
      <c r="B1989" s="260" t="s">
        <v>355</v>
      </c>
      <c r="C1989" s="258">
        <v>0.03</v>
      </c>
      <c r="D1989" s="261">
        <f>C1989*D1988</f>
        <v>244300.00005</v>
      </c>
      <c r="E1989" s="177"/>
      <c r="F1989" s="178"/>
    </row>
    <row r="1990" spans="1:10" x14ac:dyDescent="0.2">
      <c r="A1990" s="173">
        <v>9</v>
      </c>
      <c r="B1990" s="260" t="s">
        <v>356</v>
      </c>
      <c r="C1990" s="258">
        <v>0.05</v>
      </c>
      <c r="D1990" s="261">
        <f>D1988*C1990</f>
        <v>407166.66675000003</v>
      </c>
      <c r="E1990" s="178"/>
      <c r="F1990" s="178"/>
    </row>
    <row r="1991" spans="1:10" x14ac:dyDescent="0.2">
      <c r="A1991" s="173">
        <v>10</v>
      </c>
      <c r="B1991" s="260" t="s">
        <v>357</v>
      </c>
      <c r="C1991" s="258">
        <v>0.06</v>
      </c>
      <c r="D1991" s="261">
        <f>D1988*C1991</f>
        <v>488600.0001</v>
      </c>
      <c r="E1991" s="177"/>
      <c r="F1991" s="178"/>
    </row>
    <row r="1992" spans="1:10" x14ac:dyDescent="0.2">
      <c r="A1992" s="173">
        <v>11</v>
      </c>
      <c r="B1992" s="260" t="s">
        <v>290</v>
      </c>
      <c r="C1992" s="258">
        <v>2.5000000000000001E-2</v>
      </c>
      <c r="D1992" s="261">
        <f>C1992*D1988</f>
        <v>203583.33337500002</v>
      </c>
      <c r="E1992" s="177"/>
      <c r="F1992" s="178"/>
    </row>
    <row r="1993" spans="1:10" x14ac:dyDescent="0.2">
      <c r="A1993" s="173">
        <v>12</v>
      </c>
      <c r="B1993" s="260" t="s">
        <v>987</v>
      </c>
      <c r="C1993" s="258">
        <v>0.03</v>
      </c>
      <c r="D1993" s="261">
        <f>C1993*D1988</f>
        <v>244300.00005</v>
      </c>
      <c r="E1993" s="177"/>
      <c r="F1993" s="178"/>
    </row>
    <row r="1994" spans="1:10" ht="31.5" x14ac:dyDescent="0.2">
      <c r="A1994" s="173">
        <v>13</v>
      </c>
      <c r="B1994" s="260" t="s">
        <v>292</v>
      </c>
      <c r="C1994" s="258">
        <v>7.0000000000000007E-2</v>
      </c>
      <c r="D1994" s="261">
        <f>C1994*D1988</f>
        <v>570033.33345000003</v>
      </c>
      <c r="E1994" s="177"/>
      <c r="F1994" s="178" t="s">
        <v>1004</v>
      </c>
    </row>
    <row r="1995" spans="1:10" x14ac:dyDescent="0.2">
      <c r="A1995" s="173">
        <v>14</v>
      </c>
      <c r="B1995" s="260" t="s">
        <v>1005</v>
      </c>
      <c r="C1995" s="258">
        <v>0.05</v>
      </c>
      <c r="D1995" s="261">
        <f>C1995*D1988</f>
        <v>407166.66675000003</v>
      </c>
      <c r="E1995" s="177"/>
      <c r="F1995" s="178"/>
    </row>
    <row r="1996" spans="1:10" x14ac:dyDescent="0.2">
      <c r="A1996" s="173">
        <v>15</v>
      </c>
      <c r="B1996" s="254" t="s">
        <v>1006</v>
      </c>
      <c r="C1996" s="258">
        <v>0.04</v>
      </c>
      <c r="D1996" s="261">
        <f>C1996*D1988</f>
        <v>325733.3334</v>
      </c>
      <c r="E1996" s="177"/>
      <c r="F1996" s="178"/>
    </row>
    <row r="1997" spans="1:10" x14ac:dyDescent="0.2">
      <c r="A1997" s="173">
        <v>16</v>
      </c>
      <c r="B1997" s="254" t="s">
        <v>1007</v>
      </c>
      <c r="C1997" s="258">
        <v>0.04</v>
      </c>
      <c r="D1997" s="261">
        <f>C1997*D1988</f>
        <v>325733.3334</v>
      </c>
      <c r="E1997" s="177"/>
      <c r="F1997" s="178"/>
    </row>
    <row r="1998" spans="1:10" x14ac:dyDescent="0.2">
      <c r="A1998" s="173">
        <v>17</v>
      </c>
      <c r="B1998" s="254" t="s">
        <v>1008</v>
      </c>
      <c r="C1998" s="263">
        <v>7.0000000000000007E-2</v>
      </c>
      <c r="D1998" s="256">
        <f>D1988*C1998</f>
        <v>570033.33345000003</v>
      </c>
      <c r="E1998" s="177"/>
      <c r="F1998" s="178"/>
    </row>
    <row r="1999" spans="1:10" x14ac:dyDescent="0.2">
      <c r="A1999" s="173">
        <v>18</v>
      </c>
      <c r="B1999" s="254" t="s">
        <v>1009</v>
      </c>
      <c r="C1999" s="263">
        <v>0.09</v>
      </c>
      <c r="D1999" s="256">
        <f>C1999*D1988</f>
        <v>732900.00014999998</v>
      </c>
      <c r="E1999" s="177"/>
      <c r="F1999" s="178"/>
    </row>
    <row r="2000" spans="1:10" x14ac:dyDescent="0.2">
      <c r="A2000" s="173">
        <v>19</v>
      </c>
      <c r="B2000" s="254" t="s">
        <v>1010</v>
      </c>
      <c r="C2000" s="263">
        <v>0.08</v>
      </c>
      <c r="D2000" s="256">
        <f>C2000*D1988</f>
        <v>651466.66680000001</v>
      </c>
      <c r="E2000" s="177"/>
      <c r="F2000" s="178" t="s">
        <v>1011</v>
      </c>
    </row>
    <row r="2001" spans="1:9" x14ac:dyDescent="0.2">
      <c r="A2001" s="173">
        <v>20</v>
      </c>
      <c r="B2001" s="254" t="s">
        <v>1012</v>
      </c>
      <c r="C2001" s="263">
        <v>0.08</v>
      </c>
      <c r="D2001" s="256">
        <f>C2001*D1988</f>
        <v>651466.66680000001</v>
      </c>
      <c r="E2001" s="177"/>
      <c r="F2001" s="178"/>
    </row>
    <row r="2002" spans="1:9" ht="31.5" x14ac:dyDescent="0.2">
      <c r="A2002" s="173">
        <v>21</v>
      </c>
      <c r="B2002" s="254" t="s">
        <v>260</v>
      </c>
      <c r="C2002" s="263">
        <v>0.03</v>
      </c>
      <c r="D2002" s="256">
        <f>C2002*D1988</f>
        <v>244300.00005</v>
      </c>
      <c r="E2002" s="177"/>
      <c r="F2002" s="178" t="s">
        <v>1013</v>
      </c>
    </row>
    <row r="2003" spans="1:9" x14ac:dyDescent="0.2">
      <c r="A2003" s="173">
        <v>22</v>
      </c>
      <c r="B2003" s="254" t="s">
        <v>272</v>
      </c>
      <c r="C2003" s="263">
        <v>0.04</v>
      </c>
      <c r="D2003" s="256">
        <f>C2003*D1988</f>
        <v>325733.3334</v>
      </c>
      <c r="E2003" s="177"/>
      <c r="F2003" s="178"/>
    </row>
    <row r="2004" spans="1:9" x14ac:dyDescent="0.2">
      <c r="A2004" s="173">
        <v>23</v>
      </c>
      <c r="B2004" s="254" t="s">
        <v>261</v>
      </c>
      <c r="C2004" s="263">
        <v>0.03</v>
      </c>
      <c r="D2004" s="256">
        <f>C2004*D1988</f>
        <v>244300.00005</v>
      </c>
      <c r="E2004" s="177"/>
      <c r="F2004" s="178"/>
    </row>
    <row r="2005" spans="1:9" x14ac:dyDescent="0.2">
      <c r="A2005" s="173">
        <v>24</v>
      </c>
      <c r="B2005" s="254" t="s">
        <v>273</v>
      </c>
      <c r="C2005" s="263">
        <v>0.02</v>
      </c>
      <c r="D2005" s="256">
        <f>C2005*D1988</f>
        <v>162866.6667</v>
      </c>
      <c r="E2005" s="177"/>
      <c r="F2005" s="178"/>
    </row>
    <row r="2006" spans="1:9" x14ac:dyDescent="0.2">
      <c r="A2006" s="173">
        <v>25</v>
      </c>
      <c r="B2006" s="254" t="s">
        <v>776</v>
      </c>
      <c r="C2006" s="263">
        <v>0.02</v>
      </c>
      <c r="D2006" s="256">
        <f>C2006*D1988</f>
        <v>162866.6667</v>
      </c>
      <c r="E2006" s="177"/>
      <c r="F2006" s="178"/>
    </row>
    <row r="2007" spans="1:9" x14ac:dyDescent="0.2">
      <c r="A2007" s="173">
        <v>26</v>
      </c>
      <c r="B2007" s="254" t="s">
        <v>1014</v>
      </c>
      <c r="C2007" s="263">
        <v>0.02</v>
      </c>
      <c r="D2007" s="256">
        <f>C2007*D1988</f>
        <v>162866.6667</v>
      </c>
      <c r="E2007" s="177"/>
      <c r="F2007" s="178"/>
    </row>
    <row r="2008" spans="1:9" x14ac:dyDescent="0.2">
      <c r="A2008" s="173">
        <v>27</v>
      </c>
      <c r="B2008" s="254" t="s">
        <v>341</v>
      </c>
      <c r="C2008" s="263">
        <v>0.06</v>
      </c>
      <c r="D2008" s="256">
        <f>C2008*D1988</f>
        <v>488600.0001</v>
      </c>
      <c r="E2008" s="176"/>
      <c r="F2008" s="178"/>
    </row>
    <row r="2009" spans="1:9" ht="30" x14ac:dyDescent="0.2">
      <c r="A2009" s="173">
        <v>28</v>
      </c>
      <c r="B2009" s="254" t="s">
        <v>100</v>
      </c>
      <c r="C2009" s="263">
        <v>0.05</v>
      </c>
      <c r="D2009" s="256">
        <f>C2009*D1988</f>
        <v>407166.66675000003</v>
      </c>
      <c r="E2009" s="187"/>
      <c r="F2009" s="177"/>
    </row>
    <row r="2010" spans="1:9" x14ac:dyDescent="0.2">
      <c r="A2010" s="173"/>
      <c r="B2010" s="264" t="s">
        <v>132</v>
      </c>
      <c r="C2010" s="265">
        <v>0.05</v>
      </c>
      <c r="D2010" s="256">
        <f>C2010*D1988</f>
        <v>407166.66675000003</v>
      </c>
      <c r="E2010" s="187"/>
      <c r="F2010" s="177"/>
    </row>
    <row r="2011" spans="1:9" x14ac:dyDescent="0.2">
      <c r="A2011" s="173"/>
      <c r="B2011" s="264" t="s">
        <v>374</v>
      </c>
      <c r="C2011" s="265">
        <f>SUM(C1989:C2009)</f>
        <v>0.9850000000000001</v>
      </c>
      <c r="D2011" s="266">
        <f>SUM(D1989:D2010)+SUM(D1983:D1987)</f>
        <v>10378350.001724998</v>
      </c>
      <c r="E2011" s="187"/>
      <c r="F2011" s="177"/>
    </row>
    <row r="2012" spans="1:9" ht="28.5" x14ac:dyDescent="0.2">
      <c r="A2012" s="267"/>
      <c r="B2012" s="264" t="s">
        <v>375</v>
      </c>
      <c r="C2012" s="268">
        <f>D2012/D1982</f>
        <v>0.38777015966429196</v>
      </c>
      <c r="D2012" s="269">
        <f>D1982-D2011+D2010</f>
        <v>6315483.3350250022</v>
      </c>
      <c r="E2012" s="177"/>
      <c r="F2012" s="177"/>
    </row>
    <row r="2013" spans="1:9" x14ac:dyDescent="0.2">
      <c r="A2013" s="267"/>
      <c r="B2013" s="174" t="s">
        <v>569</v>
      </c>
      <c r="C2013" s="978" t="s">
        <v>1015</v>
      </c>
      <c r="D2013" s="956"/>
      <c r="E2013" s="956"/>
      <c r="F2013" s="957"/>
    </row>
    <row r="2014" spans="1:9" ht="42" customHeight="1" x14ac:dyDescent="0.2">
      <c r="A2014" s="114"/>
      <c r="B2014" s="591" t="s">
        <v>790</v>
      </c>
      <c r="C2014" s="946" t="s">
        <v>1016</v>
      </c>
      <c r="D2014" s="947"/>
      <c r="E2014" s="947"/>
      <c r="F2014" s="948"/>
    </row>
    <row r="2015" spans="1:9" x14ac:dyDescent="0.2">
      <c r="A2015" s="267"/>
      <c r="B2015" s="692" t="s">
        <v>964</v>
      </c>
      <c r="C2015" s="1024"/>
      <c r="D2015" s="1024"/>
      <c r="E2015" s="1024"/>
      <c r="F2015" s="1024"/>
    </row>
    <row r="2016" spans="1:9" ht="75.75" customHeight="1" x14ac:dyDescent="0.2">
      <c r="A2016" s="802" t="s">
        <v>1017</v>
      </c>
      <c r="B2016" s="802"/>
      <c r="C2016" s="802"/>
      <c r="D2016" s="802"/>
      <c r="E2016" s="802"/>
      <c r="F2016" s="802"/>
      <c r="G2016" s="710" t="s">
        <v>1018</v>
      </c>
      <c r="H2016" s="711">
        <f>D2017+D2027</f>
        <v>2677765.58</v>
      </c>
      <c r="I2016" s="711"/>
    </row>
    <row r="2017" spans="1:9" ht="18.75" x14ac:dyDescent="0.2">
      <c r="A2017" s="223">
        <v>1</v>
      </c>
      <c r="B2017" s="201" t="s">
        <v>7</v>
      </c>
      <c r="C2017" s="175"/>
      <c r="D2017" s="803">
        <v>1435458.05</v>
      </c>
      <c r="E2017" s="803"/>
      <c r="F2017" s="803"/>
    </row>
    <row r="2018" spans="1:9" ht="18.75" x14ac:dyDescent="0.2">
      <c r="A2018" s="223">
        <v>2</v>
      </c>
      <c r="B2018" s="201" t="s">
        <v>1019</v>
      </c>
      <c r="C2018" s="224">
        <v>0.3</v>
      </c>
      <c r="D2018" s="225">
        <f>D2017*0.3</f>
        <v>430637.41499999998</v>
      </c>
      <c r="E2018" s="192"/>
      <c r="F2018" s="178" t="s">
        <v>113</v>
      </c>
      <c r="H2018" s="698"/>
      <c r="I2018" s="698"/>
    </row>
    <row r="2019" spans="1:9" ht="18.75" x14ac:dyDescent="0.2">
      <c r="A2019" s="223">
        <v>3</v>
      </c>
      <c r="B2019" s="201" t="s">
        <v>70</v>
      </c>
      <c r="C2019" s="224">
        <v>0.2</v>
      </c>
      <c r="D2019" s="225">
        <f>D2017*C2019</f>
        <v>287091.61000000004</v>
      </c>
      <c r="E2019" s="177"/>
      <c r="F2019" s="178" t="s">
        <v>131</v>
      </c>
    </row>
    <row r="2020" spans="1:9" ht="18.75" x14ac:dyDescent="0.2">
      <c r="A2020" s="223">
        <v>4</v>
      </c>
      <c r="B2020" s="201" t="s">
        <v>810</v>
      </c>
      <c r="C2020" s="224">
        <v>0.1</v>
      </c>
      <c r="D2020" s="225">
        <f>D2017*C2020</f>
        <v>143545.80500000002</v>
      </c>
      <c r="E2020" s="177"/>
      <c r="F2020" s="178" t="s">
        <v>338</v>
      </c>
    </row>
    <row r="2021" spans="1:9" ht="18.75" x14ac:dyDescent="0.2">
      <c r="A2021" s="223">
        <v>5</v>
      </c>
      <c r="B2021" s="201" t="s">
        <v>267</v>
      </c>
      <c r="C2021" s="224">
        <v>0.1</v>
      </c>
      <c r="D2021" s="225">
        <f>C2021*D2017</f>
        <v>143545.80500000002</v>
      </c>
      <c r="E2021" s="177"/>
      <c r="F2021" s="178" t="s">
        <v>123</v>
      </c>
    </row>
    <row r="2022" spans="1:9" ht="18.75" x14ac:dyDescent="0.2">
      <c r="A2022" s="223">
        <v>6</v>
      </c>
      <c r="B2022" s="201" t="s">
        <v>132</v>
      </c>
      <c r="C2022" s="224">
        <v>0.05</v>
      </c>
      <c r="D2022" s="225">
        <f>D2017*C2022</f>
        <v>71772.902500000011</v>
      </c>
      <c r="E2022" s="177"/>
      <c r="F2022" s="178"/>
    </row>
    <row r="2023" spans="1:9" ht="31.5" x14ac:dyDescent="0.2">
      <c r="A2023" s="173"/>
      <c r="B2023" s="185" t="s">
        <v>308</v>
      </c>
      <c r="C2023" s="195">
        <f>D2023/D2017</f>
        <v>0.24999999999999997</v>
      </c>
      <c r="D2023" s="213">
        <f>D2017-SUM(D2018:D2022)</f>
        <v>358864.51249999995</v>
      </c>
      <c r="E2023" s="187"/>
      <c r="F2023" s="177"/>
    </row>
    <row r="2024" spans="1:9" x14ac:dyDescent="0.2">
      <c r="A2024" s="173"/>
      <c r="B2024" s="185" t="s">
        <v>309</v>
      </c>
      <c r="C2024" s="196">
        <f>D2024/D2017</f>
        <v>0.3</v>
      </c>
      <c r="D2024" s="226">
        <f>D2022+D2023</f>
        <v>430637.41499999998</v>
      </c>
      <c r="E2024" s="187"/>
      <c r="F2024" s="177"/>
    </row>
    <row r="2025" spans="1:9" ht="52.5" customHeight="1" x14ac:dyDescent="0.2">
      <c r="A2025" s="267"/>
      <c r="B2025" s="692" t="s">
        <v>1020</v>
      </c>
      <c r="C2025" s="1024" t="s">
        <v>1021</v>
      </c>
      <c r="D2025" s="1024"/>
      <c r="E2025" s="1024"/>
      <c r="F2025" s="1024"/>
    </row>
    <row r="2026" spans="1:9" ht="66.75" customHeight="1" x14ac:dyDescent="0.2">
      <c r="A2026" s="802" t="s">
        <v>1022</v>
      </c>
      <c r="B2026" s="802"/>
      <c r="C2026" s="802"/>
      <c r="D2026" s="802"/>
      <c r="E2026" s="802"/>
      <c r="F2026" s="802"/>
    </row>
    <row r="2027" spans="1:9" ht="18.75" x14ac:dyDescent="0.2">
      <c r="A2027" s="223">
        <v>1</v>
      </c>
      <c r="B2027" s="201" t="s">
        <v>7</v>
      </c>
      <c r="C2027" s="175"/>
      <c r="D2027" s="803">
        <v>1242307.53</v>
      </c>
      <c r="E2027" s="803"/>
      <c r="F2027" s="803"/>
    </row>
    <row r="2028" spans="1:9" ht="18.75" x14ac:dyDescent="0.2">
      <c r="A2028" s="223">
        <v>2</v>
      </c>
      <c r="B2028" s="201" t="s">
        <v>1023</v>
      </c>
      <c r="C2028" s="224">
        <v>0.3</v>
      </c>
      <c r="D2028" s="225">
        <f>C2028*D2027</f>
        <v>372692.25900000002</v>
      </c>
      <c r="E2028" s="192"/>
      <c r="F2028" s="178" t="s">
        <v>1024</v>
      </c>
    </row>
    <row r="2029" spans="1:9" ht="18.75" x14ac:dyDescent="0.2">
      <c r="A2029" s="223">
        <v>3</v>
      </c>
      <c r="B2029" s="201" t="s">
        <v>70</v>
      </c>
      <c r="C2029" s="224">
        <v>0.2</v>
      </c>
      <c r="D2029" s="225">
        <f>D2027*C2029</f>
        <v>248461.50600000002</v>
      </c>
      <c r="E2029" s="177"/>
      <c r="F2029" s="178" t="s">
        <v>131</v>
      </c>
    </row>
    <row r="2030" spans="1:9" ht="18.75" x14ac:dyDescent="0.2">
      <c r="A2030" s="223">
        <v>4</v>
      </c>
      <c r="B2030" s="201" t="s">
        <v>810</v>
      </c>
      <c r="C2030" s="224">
        <v>0.1</v>
      </c>
      <c r="D2030" s="225">
        <f>C2030*D2027</f>
        <v>124230.75300000001</v>
      </c>
      <c r="E2030" s="177"/>
      <c r="F2030" s="178" t="s">
        <v>338</v>
      </c>
    </row>
    <row r="2031" spans="1:9" ht="18.75" x14ac:dyDescent="0.2">
      <c r="A2031" s="223">
        <v>5</v>
      </c>
      <c r="B2031" s="201" t="s">
        <v>267</v>
      </c>
      <c r="C2031" s="224">
        <v>0.1</v>
      </c>
      <c r="D2031" s="225">
        <f>D2027*C2031</f>
        <v>124230.75300000001</v>
      </c>
      <c r="E2031" s="177"/>
      <c r="F2031" s="178" t="s">
        <v>123</v>
      </c>
    </row>
    <row r="2032" spans="1:9" ht="18.75" x14ac:dyDescent="0.2">
      <c r="A2032" s="223">
        <v>7</v>
      </c>
      <c r="B2032" s="208" t="s">
        <v>132</v>
      </c>
      <c r="C2032" s="224">
        <v>0.05</v>
      </c>
      <c r="D2032" s="225">
        <f>C2032*D2027</f>
        <v>62115.376500000006</v>
      </c>
      <c r="E2032" s="177"/>
      <c r="F2032" s="178"/>
    </row>
    <row r="2033" spans="1:10" ht="31.5" x14ac:dyDescent="0.2">
      <c r="A2033" s="173"/>
      <c r="B2033" s="185" t="s">
        <v>284</v>
      </c>
      <c r="C2033" s="195">
        <f>D2033/D2027</f>
        <v>0.24999999999999994</v>
      </c>
      <c r="D2033" s="187">
        <f>D2027-SUM(D2028:D2032)</f>
        <v>310576.88249999995</v>
      </c>
      <c r="E2033" s="187"/>
      <c r="F2033" s="177"/>
    </row>
    <row r="2034" spans="1:10" x14ac:dyDescent="0.2">
      <c r="A2034" s="173"/>
      <c r="B2034" s="185" t="s">
        <v>309</v>
      </c>
      <c r="C2034" s="196">
        <f>D2034/D2027</f>
        <v>0.3</v>
      </c>
      <c r="D2034" s="226">
        <f>D2032+D2033</f>
        <v>372692.25899999996</v>
      </c>
      <c r="E2034" s="187"/>
      <c r="F2034" s="177"/>
    </row>
    <row r="2035" spans="1:10" x14ac:dyDescent="0.2">
      <c r="A2035" s="267"/>
      <c r="B2035" s="692" t="s">
        <v>1020</v>
      </c>
      <c r="C2035" s="1024"/>
      <c r="D2035" s="1024"/>
      <c r="E2035" s="1024"/>
      <c r="F2035" s="1024"/>
    </row>
    <row r="2036" spans="1:10" ht="20.25" x14ac:dyDescent="0.2">
      <c r="A2036" s="907" t="s">
        <v>347</v>
      </c>
      <c r="B2036" s="908"/>
      <c r="C2036" s="908"/>
      <c r="D2036" s="908"/>
      <c r="E2036" s="908"/>
      <c r="F2036" s="909"/>
      <c r="G2036" s="250" t="s">
        <v>348</v>
      </c>
      <c r="H2036" s="250" t="s">
        <v>349</v>
      </c>
      <c r="I2036" s="250"/>
      <c r="J2036" s="251" t="s">
        <v>350</v>
      </c>
    </row>
    <row r="2037" spans="1:10" ht="66.75" customHeight="1" x14ac:dyDescent="0.2">
      <c r="A2037" s="804" t="s">
        <v>1025</v>
      </c>
      <c r="B2037" s="805"/>
      <c r="C2037" s="805"/>
      <c r="D2037" s="805"/>
      <c r="E2037" s="805"/>
      <c r="F2037" s="806"/>
      <c r="G2037" s="252">
        <v>0.05</v>
      </c>
      <c r="H2037" s="584">
        <f>D2038-D2038*G2037</f>
        <v>15200000</v>
      </c>
      <c r="I2037" s="584"/>
      <c r="J2037" s="618">
        <f>H2037-(D2039+D2041+D2044+D2061+D2062)</f>
        <v>2780000</v>
      </c>
    </row>
    <row r="2038" spans="1:10" ht="18.75" x14ac:dyDescent="0.2">
      <c r="A2038" s="173">
        <v>1</v>
      </c>
      <c r="B2038" s="254"/>
      <c r="C2038" s="175"/>
      <c r="D2038" s="798">
        <v>16000000</v>
      </c>
      <c r="E2038" s="799"/>
      <c r="F2038" s="934"/>
      <c r="G2038" s="252">
        <v>0.1</v>
      </c>
      <c r="H2038" s="584">
        <f>D2038-D2038*G2038</f>
        <v>14400000</v>
      </c>
      <c r="I2038" s="584"/>
      <c r="J2038" s="618">
        <f>H2038-(D2039+D2041+D2044+D2061+D2062)</f>
        <v>1980000</v>
      </c>
    </row>
    <row r="2039" spans="1:10" ht="18.75" x14ac:dyDescent="0.2">
      <c r="A2039" s="493">
        <v>2</v>
      </c>
      <c r="B2039" s="494" t="s">
        <v>499</v>
      </c>
      <c r="C2039" s="495"/>
      <c r="D2039" s="496">
        <f>SUM(D2040:D2040)</f>
        <v>500000</v>
      </c>
      <c r="E2039" s="496"/>
      <c r="F2039" s="605"/>
      <c r="G2039" s="252"/>
      <c r="H2039" s="584"/>
      <c r="I2039" s="584"/>
      <c r="J2039" s="253"/>
    </row>
    <row r="2040" spans="1:10" x14ac:dyDescent="0.2">
      <c r="A2040" s="497" t="s">
        <v>613</v>
      </c>
      <c r="B2040" s="498" t="s">
        <v>675</v>
      </c>
      <c r="C2040" s="499"/>
      <c r="D2040" s="500">
        <v>500000</v>
      </c>
      <c r="E2040" s="501"/>
      <c r="F2040" s="606" t="s">
        <v>676</v>
      </c>
      <c r="H2040" s="180"/>
      <c r="I2040" s="180"/>
    </row>
    <row r="2041" spans="1:10" x14ac:dyDescent="0.2">
      <c r="A2041" s="502" t="s">
        <v>623</v>
      </c>
      <c r="B2041" s="503" t="s">
        <v>744</v>
      </c>
      <c r="C2041" s="504"/>
      <c r="D2041" s="505">
        <f>SUM(D2042:D2043)</f>
        <v>1200000</v>
      </c>
      <c r="E2041" s="506"/>
      <c r="F2041" s="607"/>
      <c r="G2041" s="615"/>
      <c r="H2041" s="180"/>
      <c r="I2041" s="180"/>
    </row>
    <row r="2042" spans="1:10" x14ac:dyDescent="0.2">
      <c r="A2042" s="508" t="s">
        <v>678</v>
      </c>
      <c r="B2042" s="509" t="s">
        <v>353</v>
      </c>
      <c r="C2042" s="510"/>
      <c r="D2042" s="511">
        <v>700000</v>
      </c>
      <c r="E2042" s="512"/>
      <c r="F2042" s="1021" t="s">
        <v>1026</v>
      </c>
      <c r="H2042" s="180"/>
      <c r="I2042" s="180"/>
    </row>
    <row r="2043" spans="1:10" ht="48.75" customHeight="1" x14ac:dyDescent="0.2">
      <c r="A2043" s="508" t="s">
        <v>680</v>
      </c>
      <c r="B2043" s="509" t="s">
        <v>745</v>
      </c>
      <c r="C2043" s="510"/>
      <c r="D2043" s="511">
        <v>500000</v>
      </c>
      <c r="E2043" s="512"/>
      <c r="F2043" s="1022"/>
      <c r="G2043" s="615"/>
    </row>
    <row r="2044" spans="1:10" x14ac:dyDescent="0.2">
      <c r="A2044" s="538" t="s">
        <v>625</v>
      </c>
      <c r="B2044" s="539" t="s">
        <v>868</v>
      </c>
      <c r="C2044" s="540"/>
      <c r="D2044" s="619">
        <v>3000000</v>
      </c>
      <c r="E2044" s="542"/>
      <c r="F2044" s="543"/>
      <c r="G2044" s="1023"/>
      <c r="H2044" s="1023"/>
      <c r="I2044" s="1023"/>
      <c r="J2044" s="1023"/>
    </row>
    <row r="2045" spans="1:10" ht="43.5" x14ac:dyDescent="0.2">
      <c r="A2045" s="550" t="s">
        <v>627</v>
      </c>
      <c r="B2045" s="551" t="s">
        <v>354</v>
      </c>
      <c r="C2045" s="552">
        <v>0.5</v>
      </c>
      <c r="D2045" s="553">
        <f>D2038*C2045</f>
        <v>8000000</v>
      </c>
      <c r="E2045" s="554"/>
      <c r="F2045" s="555"/>
      <c r="G2045" s="608"/>
      <c r="H2045" s="608"/>
      <c r="I2045" s="608"/>
      <c r="J2045" s="608"/>
    </row>
    <row r="2046" spans="1:10" ht="30" x14ac:dyDescent="0.2">
      <c r="A2046" s="556" t="s">
        <v>628</v>
      </c>
      <c r="B2046" s="557" t="s">
        <v>748</v>
      </c>
      <c r="C2046" s="558">
        <v>0.06</v>
      </c>
      <c r="D2046" s="559">
        <f>C2046*D2045</f>
        <v>480000</v>
      </c>
      <c r="E2046" s="560"/>
      <c r="F2046" s="561"/>
    </row>
    <row r="2047" spans="1:10" x14ac:dyDescent="0.2">
      <c r="A2047" s="556" t="s">
        <v>629</v>
      </c>
      <c r="B2047" s="557" t="s">
        <v>355</v>
      </c>
      <c r="C2047" s="558">
        <v>0.04</v>
      </c>
      <c r="D2047" s="559">
        <f>C2047*D2045</f>
        <v>320000</v>
      </c>
      <c r="E2047" s="560"/>
      <c r="F2047" s="561"/>
    </row>
    <row r="2048" spans="1:10" ht="30" x14ac:dyDescent="0.2">
      <c r="A2048" s="556" t="s">
        <v>630</v>
      </c>
      <c r="B2048" s="557" t="s">
        <v>712</v>
      </c>
      <c r="C2048" s="558">
        <v>0.04</v>
      </c>
      <c r="D2048" s="559">
        <f>D2045*C2048</f>
        <v>320000</v>
      </c>
      <c r="E2048" s="561"/>
      <c r="F2048" s="561"/>
    </row>
    <row r="2049" spans="1:6" x14ac:dyDescent="0.2">
      <c r="A2049" s="556" t="s">
        <v>632</v>
      </c>
      <c r="B2049" s="557" t="s">
        <v>20</v>
      </c>
      <c r="C2049" s="558">
        <v>0.05</v>
      </c>
      <c r="D2049" s="559">
        <f>C2049*D2045</f>
        <v>400000</v>
      </c>
      <c r="E2049" s="560"/>
      <c r="F2049" s="561" t="s">
        <v>1027</v>
      </c>
    </row>
    <row r="2050" spans="1:6" x14ac:dyDescent="0.2">
      <c r="A2050" s="556" t="s">
        <v>634</v>
      </c>
      <c r="B2050" s="557" t="s">
        <v>319</v>
      </c>
      <c r="C2050" s="558">
        <v>0.06</v>
      </c>
      <c r="D2050" s="559">
        <f>C2050*D2045</f>
        <v>480000</v>
      </c>
      <c r="E2050" s="560"/>
      <c r="F2050" s="561" t="s">
        <v>365</v>
      </c>
    </row>
    <row r="2051" spans="1:6" x14ac:dyDescent="0.2">
      <c r="A2051" s="556" t="s">
        <v>635</v>
      </c>
      <c r="B2051" s="562" t="s">
        <v>322</v>
      </c>
      <c r="C2051" s="563">
        <v>2.5000000000000001E-2</v>
      </c>
      <c r="D2051" s="564">
        <f>D2045*C2051</f>
        <v>200000</v>
      </c>
      <c r="E2051" s="565"/>
      <c r="F2051" s="561" t="s">
        <v>367</v>
      </c>
    </row>
    <row r="2052" spans="1:6" x14ac:dyDescent="0.2">
      <c r="A2052" s="556" t="s">
        <v>636</v>
      </c>
      <c r="B2052" s="562" t="s">
        <v>642</v>
      </c>
      <c r="C2052" s="563">
        <v>0.06</v>
      </c>
      <c r="D2052" s="564">
        <f>C2052*D2045</f>
        <v>480000</v>
      </c>
      <c r="E2052" s="565"/>
      <c r="F2052" s="561" t="s">
        <v>370</v>
      </c>
    </row>
    <row r="2053" spans="1:6" x14ac:dyDescent="0.2">
      <c r="A2053" s="556" t="s">
        <v>637</v>
      </c>
      <c r="B2053" s="562" t="s">
        <v>260</v>
      </c>
      <c r="C2053" s="563">
        <v>0.04</v>
      </c>
      <c r="D2053" s="564">
        <f>C2053*D2045</f>
        <v>320000</v>
      </c>
      <c r="E2053" s="560"/>
      <c r="F2053" s="561" t="s">
        <v>371</v>
      </c>
    </row>
    <row r="2054" spans="1:6" x14ac:dyDescent="0.2">
      <c r="A2054" s="556" t="s">
        <v>638</v>
      </c>
      <c r="B2054" s="562" t="s">
        <v>272</v>
      </c>
      <c r="C2054" s="563">
        <v>0.05</v>
      </c>
      <c r="D2054" s="564">
        <f>C2054*D2045</f>
        <v>400000</v>
      </c>
      <c r="E2054" s="560"/>
      <c r="F2054" s="561"/>
    </row>
    <row r="2055" spans="1:6" x14ac:dyDescent="0.2">
      <c r="A2055" s="556" t="s">
        <v>639</v>
      </c>
      <c r="B2055" s="562" t="s">
        <v>262</v>
      </c>
      <c r="C2055" s="563">
        <v>0.03</v>
      </c>
      <c r="D2055" s="564">
        <f>C2055*D2045</f>
        <v>240000</v>
      </c>
      <c r="E2055" s="560"/>
      <c r="F2055" s="561"/>
    </row>
    <row r="2056" spans="1:6" x14ac:dyDescent="0.2">
      <c r="A2056" s="556" t="s">
        <v>640</v>
      </c>
      <c r="B2056" s="562" t="s">
        <v>341</v>
      </c>
      <c r="C2056" s="563">
        <v>0.08</v>
      </c>
      <c r="D2056" s="564">
        <f>C2056*D2045</f>
        <v>640000</v>
      </c>
      <c r="E2056" s="565"/>
      <c r="F2056" s="561" t="s">
        <v>960</v>
      </c>
    </row>
    <row r="2057" spans="1:6" ht="45" x14ac:dyDescent="0.2">
      <c r="A2057" s="556" t="s">
        <v>641</v>
      </c>
      <c r="B2057" s="562" t="s">
        <v>869</v>
      </c>
      <c r="C2057" s="563">
        <v>0.03</v>
      </c>
      <c r="D2057" s="564">
        <f>C2057*D2045</f>
        <v>240000</v>
      </c>
      <c r="E2057" s="565"/>
      <c r="F2057" s="561"/>
    </row>
    <row r="2058" spans="1:6" ht="30" x14ac:dyDescent="0.2">
      <c r="A2058" s="556" t="s">
        <v>643</v>
      </c>
      <c r="B2058" s="562" t="s">
        <v>100</v>
      </c>
      <c r="C2058" s="563">
        <v>0.1</v>
      </c>
      <c r="D2058" s="564">
        <f>C2058*D2045</f>
        <v>800000</v>
      </c>
      <c r="E2058" s="566"/>
      <c r="F2058" s="560"/>
    </row>
    <row r="2059" spans="1:6" x14ac:dyDescent="0.2">
      <c r="A2059" s="550"/>
      <c r="B2059" s="567" t="s">
        <v>735</v>
      </c>
      <c r="C2059" s="568">
        <f>SUM(C2046:C2058)</f>
        <v>0.66499999999999992</v>
      </c>
      <c r="D2059" s="569">
        <f>SUM(D2046:D2058)</f>
        <v>5320000</v>
      </c>
      <c r="E2059" s="570"/>
      <c r="F2059" s="554"/>
    </row>
    <row r="2060" spans="1:6" x14ac:dyDescent="0.2">
      <c r="A2060" s="550"/>
      <c r="B2060" s="567" t="s">
        <v>132</v>
      </c>
      <c r="C2060" s="568">
        <v>0.1</v>
      </c>
      <c r="D2060" s="569">
        <f>C2060*D2045</f>
        <v>800000</v>
      </c>
      <c r="E2060" s="570"/>
      <c r="F2060" s="554"/>
    </row>
    <row r="2061" spans="1:6" ht="42.75" x14ac:dyDescent="0.2">
      <c r="A2061" s="550"/>
      <c r="B2061" s="567" t="s">
        <v>1028</v>
      </c>
      <c r="C2061" s="568">
        <f>D2061/D2038</f>
        <v>0.38250000000000001</v>
      </c>
      <c r="D2061" s="569">
        <f>D2059+D2060</f>
        <v>6120000</v>
      </c>
      <c r="E2061" s="570"/>
      <c r="F2061" s="554"/>
    </row>
    <row r="2062" spans="1:6" x14ac:dyDescent="0.2">
      <c r="A2062" s="620" t="s">
        <v>655</v>
      </c>
      <c r="B2062" s="621" t="s">
        <v>871</v>
      </c>
      <c r="C2062" s="622">
        <v>0.1</v>
      </c>
      <c r="D2062" s="623">
        <f>C2062*D2038</f>
        <v>1600000</v>
      </c>
      <c r="E2062" s="624"/>
      <c r="F2062" s="625"/>
    </row>
    <row r="2063" spans="1:6" ht="28.5" x14ac:dyDescent="0.2">
      <c r="A2063" s="571"/>
      <c r="B2063" s="572" t="s">
        <v>375</v>
      </c>
      <c r="C2063" s="573">
        <f>D2063/D2038</f>
        <v>0.22375</v>
      </c>
      <c r="D2063" s="574">
        <f>D2038-D2039-D2041-D2044-D2061-D2062</f>
        <v>3580000</v>
      </c>
      <c r="E2063" s="575"/>
      <c r="F2063" s="575"/>
    </row>
    <row r="2064" spans="1:6" x14ac:dyDescent="0.2">
      <c r="A2064" s="267"/>
      <c r="B2064" s="174" t="s">
        <v>403</v>
      </c>
      <c r="C2064" s="585">
        <v>46077</v>
      </c>
      <c r="D2064" s="177"/>
      <c r="E2064" s="177"/>
      <c r="F2064" s="177"/>
    </row>
    <row r="2065" spans="1:6" ht="26.25" customHeight="1" x14ac:dyDescent="0.2">
      <c r="A2065" s="267"/>
      <c r="B2065" s="174" t="s">
        <v>569</v>
      </c>
      <c r="C2065" s="1014" t="s">
        <v>1029</v>
      </c>
      <c r="D2065" s="956"/>
      <c r="E2065" s="956"/>
      <c r="F2065" s="957"/>
    </row>
    <row r="2066" spans="1:6" x14ac:dyDescent="0.2">
      <c r="A2066" s="267"/>
      <c r="B2066" s="174" t="s">
        <v>784</v>
      </c>
      <c r="C2066" s="978" t="s">
        <v>1030</v>
      </c>
      <c r="D2066" s="956"/>
      <c r="E2066" s="956"/>
      <c r="F2066" s="957"/>
    </row>
    <row r="2067" spans="1:6" x14ac:dyDescent="0.2">
      <c r="A2067" s="267"/>
      <c r="B2067" s="174" t="s">
        <v>541</v>
      </c>
      <c r="C2067" s="994" t="s">
        <v>827</v>
      </c>
      <c r="D2067" s="995"/>
      <c r="E2067" s="995"/>
      <c r="F2067" s="996"/>
    </row>
    <row r="2068" spans="1:6" ht="57" customHeight="1" x14ac:dyDescent="0.2">
      <c r="A2068" s="267"/>
      <c r="B2068" s="174" t="s">
        <v>404</v>
      </c>
      <c r="C2068" s="952" t="s">
        <v>874</v>
      </c>
      <c r="D2068" s="953"/>
      <c r="E2068" s="953"/>
      <c r="F2068" s="954"/>
    </row>
    <row r="2069" spans="1:6" x14ac:dyDescent="0.2">
      <c r="A2069" s="114"/>
      <c r="B2069" s="21" t="s">
        <v>528</v>
      </c>
      <c r="C2069" s="940">
        <v>0.05</v>
      </c>
      <c r="D2069" s="941"/>
      <c r="E2069" s="941"/>
      <c r="F2069" s="942"/>
    </row>
    <row r="2070" spans="1:6" x14ac:dyDescent="0.2">
      <c r="A2070" s="589"/>
      <c r="B2070" s="590" t="s">
        <v>875</v>
      </c>
      <c r="C2070" s="999">
        <v>0.01</v>
      </c>
      <c r="D2070" s="944"/>
      <c r="E2070" s="944"/>
      <c r="F2070" s="945"/>
    </row>
    <row r="2071" spans="1:6" x14ac:dyDescent="0.2">
      <c r="A2071" s="114"/>
      <c r="B2071" s="591" t="s">
        <v>790</v>
      </c>
      <c r="C2071" s="946" t="s">
        <v>1031</v>
      </c>
      <c r="D2071" s="947"/>
      <c r="E2071" s="947"/>
      <c r="F2071" s="948"/>
    </row>
    <row r="2072" spans="1:6" x14ac:dyDescent="0.2">
      <c r="A2072" s="593"/>
      <c r="B2072" s="591" t="s">
        <v>792</v>
      </c>
      <c r="C2072" s="1017" t="s">
        <v>877</v>
      </c>
      <c r="D2072" s="1018"/>
      <c r="E2072" s="1018"/>
      <c r="F2072" s="1019"/>
    </row>
    <row r="2073" spans="1:6" ht="81" customHeight="1" x14ac:dyDescent="0.2">
      <c r="A2073" s="594"/>
      <c r="B2073" s="595" t="s">
        <v>546</v>
      </c>
      <c r="C2073" s="987" t="s">
        <v>1032</v>
      </c>
      <c r="D2073" s="988"/>
      <c r="E2073" s="988"/>
      <c r="F2073" s="989"/>
    </row>
    <row r="2074" spans="1:6" ht="31.5" x14ac:dyDescent="0.2">
      <c r="A2074" s="114"/>
      <c r="B2074" s="596" t="s">
        <v>796</v>
      </c>
      <c r="C2074" s="952"/>
      <c r="D2074" s="953"/>
      <c r="E2074" s="953"/>
      <c r="F2074" s="954"/>
    </row>
    <row r="2075" spans="1:6" ht="31.5" x14ac:dyDescent="0.2">
      <c r="A2075" s="593"/>
      <c r="B2075" s="597" t="s">
        <v>798</v>
      </c>
      <c r="C2075" s="896" t="s">
        <v>1033</v>
      </c>
      <c r="D2075" s="897"/>
      <c r="E2075" s="897"/>
      <c r="F2075" s="898"/>
    </row>
    <row r="2076" spans="1:6" ht="107.25" customHeight="1" x14ac:dyDescent="0.2">
      <c r="A2076" s="804" t="s">
        <v>1034</v>
      </c>
      <c r="B2076" s="805"/>
      <c r="C2076" s="805"/>
      <c r="D2076" s="805"/>
      <c r="E2076" s="805"/>
      <c r="F2076" s="806"/>
    </row>
    <row r="2077" spans="1:6" x14ac:dyDescent="0.2">
      <c r="A2077" s="173">
        <v>1</v>
      </c>
      <c r="B2077" s="254" t="s">
        <v>352</v>
      </c>
      <c r="C2077" s="175"/>
      <c r="D2077" s="798">
        <v>2500000</v>
      </c>
      <c r="E2077" s="799"/>
      <c r="F2077" s="800"/>
    </row>
    <row r="2078" spans="1:6" x14ac:dyDescent="0.2">
      <c r="A2078" s="493" t="s">
        <v>1035</v>
      </c>
      <c r="B2078" s="494" t="s">
        <v>842</v>
      </c>
      <c r="C2078" s="495"/>
      <c r="D2078" s="496">
        <f>SUM(D2079:D2080)</f>
        <v>200000</v>
      </c>
      <c r="E2078" s="496"/>
      <c r="F2078" s="496"/>
    </row>
    <row r="2079" spans="1:6" x14ac:dyDescent="0.2">
      <c r="A2079" s="497" t="s">
        <v>613</v>
      </c>
      <c r="B2079" s="611" t="s">
        <v>688</v>
      </c>
      <c r="C2079" s="611"/>
      <c r="D2079" s="612">
        <v>50000</v>
      </c>
      <c r="E2079" s="501"/>
      <c r="F2079" s="419" t="s">
        <v>1036</v>
      </c>
    </row>
    <row r="2080" spans="1:6" x14ac:dyDescent="0.2">
      <c r="A2080" s="497" t="s">
        <v>1037</v>
      </c>
      <c r="B2080" s="611" t="s">
        <v>690</v>
      </c>
      <c r="C2080" s="611"/>
      <c r="D2080" s="612">
        <v>150000</v>
      </c>
      <c r="E2080" s="501"/>
      <c r="F2080" s="419" t="s">
        <v>1036</v>
      </c>
    </row>
    <row r="2081" spans="1:6" x14ac:dyDescent="0.2">
      <c r="A2081" s="502" t="s">
        <v>623</v>
      </c>
      <c r="B2081" s="503" t="s">
        <v>846</v>
      </c>
      <c r="C2081" s="504"/>
      <c r="D2081" s="505">
        <f>SUM(D2082:D2084)</f>
        <v>850000</v>
      </c>
      <c r="E2081" s="506"/>
      <c r="F2081" s="507"/>
    </row>
    <row r="2082" spans="1:6" x14ac:dyDescent="0.2">
      <c r="A2082" s="1009" t="s">
        <v>678</v>
      </c>
      <c r="B2082" s="509" t="s">
        <v>561</v>
      </c>
      <c r="C2082" s="510"/>
      <c r="D2082" s="712">
        <v>200000</v>
      </c>
      <c r="E2082" s="512"/>
      <c r="F2082" s="513" t="s">
        <v>123</v>
      </c>
    </row>
    <row r="2083" spans="1:6" x14ac:dyDescent="0.2">
      <c r="A2083" s="1010"/>
      <c r="B2083" s="509" t="s">
        <v>697</v>
      </c>
      <c r="C2083" s="510"/>
      <c r="D2083" s="712">
        <v>150000</v>
      </c>
      <c r="E2083" s="512"/>
      <c r="F2083" s="513" t="s">
        <v>1038</v>
      </c>
    </row>
    <row r="2084" spans="1:6" x14ac:dyDescent="0.2">
      <c r="A2084" s="508" t="s">
        <v>680</v>
      </c>
      <c r="B2084" s="509" t="s">
        <v>1039</v>
      </c>
      <c r="C2084" s="510"/>
      <c r="D2084" s="712">
        <v>500000</v>
      </c>
      <c r="E2084" s="512"/>
      <c r="F2084" s="513" t="s">
        <v>1040</v>
      </c>
    </row>
    <row r="2085" spans="1:6" ht="29.25" x14ac:dyDescent="0.2">
      <c r="A2085" s="550" t="s">
        <v>625</v>
      </c>
      <c r="B2085" s="551" t="s">
        <v>1041</v>
      </c>
      <c r="C2085" s="552">
        <v>0.5</v>
      </c>
      <c r="D2085" s="553">
        <f>D2077*C2085</f>
        <v>1250000</v>
      </c>
      <c r="E2085" s="554"/>
      <c r="F2085" s="555"/>
    </row>
    <row r="2086" spans="1:6" x14ac:dyDescent="0.2">
      <c r="A2086" s="556" t="s">
        <v>687</v>
      </c>
      <c r="B2086" s="557" t="s">
        <v>710</v>
      </c>
      <c r="C2086" s="558">
        <v>0.08</v>
      </c>
      <c r="D2086" s="559">
        <f>C2086*D2085</f>
        <v>100000</v>
      </c>
      <c r="E2086" s="560"/>
      <c r="F2086" s="561" t="s">
        <v>1042</v>
      </c>
    </row>
    <row r="2087" spans="1:6" ht="30" x14ac:dyDescent="0.2">
      <c r="A2087" s="556" t="s">
        <v>689</v>
      </c>
      <c r="B2087" s="557" t="s">
        <v>712</v>
      </c>
      <c r="C2087" s="558">
        <v>0.05</v>
      </c>
      <c r="D2087" s="559">
        <f>D2085*C2087</f>
        <v>62500</v>
      </c>
      <c r="E2087" s="561"/>
      <c r="F2087" s="561"/>
    </row>
    <row r="2088" spans="1:6" x14ac:dyDescent="0.2">
      <c r="A2088" s="556" t="s">
        <v>704</v>
      </c>
      <c r="B2088" s="562" t="s">
        <v>299</v>
      </c>
      <c r="C2088" s="563">
        <v>0.12</v>
      </c>
      <c r="D2088" s="564">
        <f>C2088*D2085</f>
        <v>150000</v>
      </c>
      <c r="E2088" s="560"/>
      <c r="F2088" s="561"/>
    </row>
    <row r="2089" spans="1:6" x14ac:dyDescent="0.2">
      <c r="A2089" s="556" t="s">
        <v>751</v>
      </c>
      <c r="B2089" s="562" t="s">
        <v>341</v>
      </c>
      <c r="C2089" s="563">
        <v>0.1</v>
      </c>
      <c r="D2089" s="564">
        <f>C2089*D2085</f>
        <v>125000</v>
      </c>
      <c r="E2089" s="565"/>
      <c r="F2089" s="561" t="s">
        <v>733</v>
      </c>
    </row>
    <row r="2090" spans="1:6" ht="45" x14ac:dyDescent="0.2">
      <c r="A2090" s="556" t="s">
        <v>752</v>
      </c>
      <c r="B2090" s="562" t="s">
        <v>1043</v>
      </c>
      <c r="C2090" s="563">
        <v>0.05</v>
      </c>
      <c r="D2090" s="564">
        <f>C2090*D2085</f>
        <v>62500</v>
      </c>
      <c r="E2090" s="566"/>
      <c r="F2090" s="560"/>
    </row>
    <row r="2091" spans="1:6" x14ac:dyDescent="0.2">
      <c r="A2091" s="525">
        <v>5</v>
      </c>
      <c r="B2091" s="617" t="s">
        <v>859</v>
      </c>
      <c r="C2091" s="527"/>
      <c r="D2091" s="528">
        <f>SUM(D2092:D2093)</f>
        <v>200000</v>
      </c>
      <c r="E2091" s="529"/>
      <c r="F2091" s="530"/>
    </row>
    <row r="2092" spans="1:6" x14ac:dyDescent="0.2">
      <c r="A2092" s="531" t="s">
        <v>628</v>
      </c>
      <c r="B2092" s="532" t="s">
        <v>1044</v>
      </c>
      <c r="C2092" s="533"/>
      <c r="D2092" s="534">
        <v>0</v>
      </c>
      <c r="E2092" s="535"/>
      <c r="F2092" s="536"/>
    </row>
    <row r="2093" spans="1:6" ht="18.75" x14ac:dyDescent="0.2">
      <c r="A2093" s="531" t="s">
        <v>629</v>
      </c>
      <c r="B2093" s="532" t="s">
        <v>675</v>
      </c>
      <c r="C2093" s="533"/>
      <c r="D2093" s="534">
        <v>200000</v>
      </c>
      <c r="E2093" s="535"/>
      <c r="F2093" s="713" t="s">
        <v>1045</v>
      </c>
    </row>
    <row r="2094" spans="1:6" x14ac:dyDescent="0.2">
      <c r="A2094" s="714" t="s">
        <v>655</v>
      </c>
      <c r="B2094" s="257" t="s">
        <v>1046</v>
      </c>
      <c r="C2094" s="715"/>
      <c r="D2094" s="716"/>
      <c r="E2094" s="176"/>
      <c r="F2094" s="178"/>
    </row>
    <row r="2095" spans="1:6" x14ac:dyDescent="0.2">
      <c r="A2095" s="717" t="s">
        <v>709</v>
      </c>
      <c r="B2095" s="260" t="s">
        <v>1047</v>
      </c>
      <c r="C2095" s="715"/>
      <c r="D2095" s="716">
        <v>400000</v>
      </c>
      <c r="E2095" s="176"/>
      <c r="F2095" s="178" t="s">
        <v>1036</v>
      </c>
    </row>
    <row r="2096" spans="1:6" x14ac:dyDescent="0.2">
      <c r="A2096" s="550"/>
      <c r="B2096" s="567" t="s">
        <v>1048</v>
      </c>
      <c r="C2096" s="568">
        <f>SUM(C2086:C2090)</f>
        <v>0.39999999999999997</v>
      </c>
      <c r="D2096" s="569">
        <f>SUM(D2086:D2090)</f>
        <v>500000</v>
      </c>
      <c r="E2096" s="570"/>
      <c r="F2096" s="554"/>
    </row>
    <row r="2097" spans="1:10" ht="28.5" x14ac:dyDescent="0.2">
      <c r="A2097" s="550"/>
      <c r="B2097" s="567" t="s">
        <v>308</v>
      </c>
      <c r="C2097" s="568">
        <f>D2097/D2077</f>
        <v>0.26</v>
      </c>
      <c r="D2097" s="569">
        <f>D2077-D2078*0.5-D2081-D2096-D2091-D2095*0.5</f>
        <v>650000</v>
      </c>
      <c r="E2097" s="570"/>
      <c r="F2097" s="555" t="s">
        <v>1049</v>
      </c>
    </row>
    <row r="2098" spans="1:10" ht="54.75" customHeight="1" x14ac:dyDescent="0.2">
      <c r="A2098" s="1020" t="s">
        <v>1050</v>
      </c>
      <c r="B2098" s="805"/>
      <c r="C2098" s="805"/>
      <c r="D2098" s="805"/>
      <c r="E2098" s="805"/>
      <c r="F2098" s="806"/>
    </row>
    <row r="2099" spans="1:10" x14ac:dyDescent="0.2">
      <c r="A2099" s="173">
        <v>1</v>
      </c>
      <c r="B2099" s="254" t="s">
        <v>352</v>
      </c>
      <c r="C2099" s="175"/>
      <c r="D2099" s="798">
        <v>2000000</v>
      </c>
      <c r="E2099" s="799"/>
      <c r="F2099" s="800"/>
    </row>
    <row r="2100" spans="1:10" x14ac:dyDescent="0.2">
      <c r="A2100" s="493" t="s">
        <v>1035</v>
      </c>
      <c r="B2100" s="494" t="s">
        <v>842</v>
      </c>
      <c r="C2100" s="495"/>
      <c r="D2100" s="496">
        <f>SUM(D2101:D2101)</f>
        <v>50000</v>
      </c>
      <c r="E2100" s="496"/>
      <c r="F2100" s="496"/>
    </row>
    <row r="2101" spans="1:10" x14ac:dyDescent="0.2">
      <c r="A2101" s="497" t="s">
        <v>613</v>
      </c>
      <c r="B2101" s="611" t="s">
        <v>688</v>
      </c>
      <c r="C2101" s="611"/>
      <c r="D2101" s="612">
        <v>50000</v>
      </c>
      <c r="E2101" s="501"/>
      <c r="F2101" s="419" t="s">
        <v>1036</v>
      </c>
    </row>
    <row r="2102" spans="1:10" x14ac:dyDescent="0.2">
      <c r="A2102" s="502" t="s">
        <v>623</v>
      </c>
      <c r="B2102" s="503" t="s">
        <v>846</v>
      </c>
      <c r="C2102" s="504"/>
      <c r="D2102" s="505">
        <f>SUM(D2103:D2106)</f>
        <v>1450000</v>
      </c>
      <c r="E2102" s="506"/>
      <c r="F2102" s="507"/>
    </row>
    <row r="2103" spans="1:10" x14ac:dyDescent="0.2">
      <c r="A2103" s="1009" t="s">
        <v>678</v>
      </c>
      <c r="B2103" s="509" t="s">
        <v>694</v>
      </c>
      <c r="C2103" s="510"/>
      <c r="D2103" s="712">
        <v>350000</v>
      </c>
      <c r="E2103" s="512"/>
      <c r="F2103" s="513" t="s">
        <v>1036</v>
      </c>
    </row>
    <row r="2104" spans="1:10" x14ac:dyDescent="0.2">
      <c r="A2104" s="1010"/>
      <c r="B2104" s="509" t="s">
        <v>1051</v>
      </c>
      <c r="C2104" s="510"/>
      <c r="D2104" s="712">
        <v>550000</v>
      </c>
      <c r="E2104" s="512"/>
      <c r="F2104" s="513" t="s">
        <v>1036</v>
      </c>
    </row>
    <row r="2105" spans="1:10" x14ac:dyDescent="0.2">
      <c r="A2105" s="508" t="s">
        <v>680</v>
      </c>
      <c r="B2105" s="509" t="s">
        <v>1052</v>
      </c>
      <c r="C2105" s="510"/>
      <c r="D2105" s="712">
        <v>500000</v>
      </c>
      <c r="E2105" s="512"/>
      <c r="F2105" s="513" t="s">
        <v>1036</v>
      </c>
    </row>
    <row r="2106" spans="1:10" ht="50.25" customHeight="1" x14ac:dyDescent="0.2">
      <c r="A2106" s="508" t="s">
        <v>738</v>
      </c>
      <c r="B2106" s="509" t="s">
        <v>1043</v>
      </c>
      <c r="C2106" s="510"/>
      <c r="D2106" s="712">
        <v>50000</v>
      </c>
      <c r="E2106" s="512"/>
      <c r="F2106" s="513"/>
    </row>
    <row r="2107" spans="1:10" x14ac:dyDescent="0.2">
      <c r="A2107" s="525">
        <v>4</v>
      </c>
      <c r="B2107" s="617" t="s">
        <v>859</v>
      </c>
      <c r="C2107" s="527"/>
      <c r="D2107" s="528"/>
      <c r="E2107" s="529"/>
      <c r="F2107" s="530"/>
    </row>
    <row r="2108" spans="1:10" x14ac:dyDescent="0.2">
      <c r="A2108" s="531" t="s">
        <v>687</v>
      </c>
      <c r="B2108" s="532" t="s">
        <v>552</v>
      </c>
      <c r="C2108" s="533"/>
      <c r="D2108" s="534">
        <v>500000</v>
      </c>
      <c r="E2108" s="535"/>
      <c r="F2108" s="536"/>
    </row>
    <row r="2109" spans="1:10" x14ac:dyDescent="0.2">
      <c r="A2109" s="531" t="s">
        <v>689</v>
      </c>
      <c r="B2109" s="532" t="s">
        <v>1044</v>
      </c>
      <c r="C2109" s="533"/>
      <c r="D2109" s="534"/>
      <c r="E2109" s="535"/>
      <c r="F2109" s="536"/>
    </row>
    <row r="2110" spans="1:10" x14ac:dyDescent="0.2">
      <c r="A2110" s="550"/>
      <c r="B2110" s="567" t="s">
        <v>1048</v>
      </c>
      <c r="C2110" s="568"/>
      <c r="D2110" s="569">
        <f>SUM(D2100+D2102+D2108)</f>
        <v>2000000</v>
      </c>
      <c r="E2110" s="570"/>
      <c r="F2110" s="554" t="s">
        <v>1053</v>
      </c>
    </row>
    <row r="2111" spans="1:10" ht="28.5" x14ac:dyDescent="0.2">
      <c r="A2111" s="550"/>
      <c r="B2111" s="567" t="s">
        <v>308</v>
      </c>
      <c r="C2111" s="568">
        <f>D2111/D2099</f>
        <v>0.625</v>
      </c>
      <c r="D2111" s="569">
        <f>(D2100+D2102)*50%+D2108</f>
        <v>1250000</v>
      </c>
      <c r="E2111" s="570"/>
      <c r="F2111" s="554" t="s">
        <v>1049</v>
      </c>
    </row>
    <row r="2112" spans="1:10" ht="30" customHeight="1" x14ac:dyDescent="0.2">
      <c r="A2112" s="813" t="s">
        <v>1054</v>
      </c>
      <c r="B2112" s="814"/>
      <c r="C2112" s="814"/>
      <c r="D2112" s="814"/>
      <c r="E2112" s="815"/>
      <c r="F2112" s="816"/>
      <c r="G2112" s="250" t="s">
        <v>348</v>
      </c>
      <c r="H2112" s="250" t="s">
        <v>349</v>
      </c>
      <c r="I2112" s="250"/>
      <c r="J2112" s="251" t="s">
        <v>350</v>
      </c>
    </row>
    <row r="2113" spans="1:10" ht="18.75" x14ac:dyDescent="0.2">
      <c r="A2113" s="198">
        <v>1</v>
      </c>
      <c r="B2113" s="1015" t="s">
        <v>352</v>
      </c>
      <c r="C2113" s="1016"/>
      <c r="D2113" s="803">
        <v>53930445.259999998</v>
      </c>
      <c r="E2113" s="803"/>
      <c r="F2113" s="803"/>
      <c r="G2113" s="252">
        <v>0.05</v>
      </c>
      <c r="H2113" s="584">
        <f>D2113-D2113*G2113</f>
        <v>51233922.996999994</v>
      </c>
      <c r="I2113" s="584"/>
      <c r="J2113" s="253">
        <f>H2113-D2114-D2121-D2122-D2147-D2149-D2150-D2151</f>
        <v>12216789.703752002</v>
      </c>
    </row>
    <row r="2114" spans="1:10" ht="18.75" x14ac:dyDescent="0.2">
      <c r="A2114" s="464">
        <v>2</v>
      </c>
      <c r="B2114" s="465" t="s">
        <v>8</v>
      </c>
      <c r="C2114" s="466"/>
      <c r="D2114" s="467">
        <f>SUM(D2115:D2120)</f>
        <v>2900000</v>
      </c>
      <c r="E2114" s="467"/>
      <c r="F2114" s="468"/>
      <c r="G2114" s="252">
        <v>0.1</v>
      </c>
      <c r="H2114" s="584">
        <f>D2113-D2113*G2114</f>
        <v>48537400.733999997</v>
      </c>
      <c r="I2114" s="584"/>
      <c r="J2114" s="253">
        <f>H2114-D2114-D2121-D2122-D2147-D2149-D2150-D2151</f>
        <v>9520267.4407520052</v>
      </c>
    </row>
    <row r="2115" spans="1:10" ht="37.5" x14ac:dyDescent="0.2">
      <c r="A2115" s="469" t="s">
        <v>613</v>
      </c>
      <c r="B2115" s="339" t="s">
        <v>614</v>
      </c>
      <c r="C2115" s="340"/>
      <c r="D2115" s="341">
        <v>800000</v>
      </c>
      <c r="E2115" s="341"/>
      <c r="F2115" s="470"/>
      <c r="G2115" s="252">
        <v>0.15</v>
      </c>
      <c r="H2115" s="584">
        <f>D2113-D2113*G2115</f>
        <v>45840878.471000001</v>
      </c>
      <c r="I2115" s="584"/>
      <c r="J2115" s="253">
        <f>H2115-D2114-D2121-D2122-D2147-D2149-D2150-D2151</f>
        <v>6823745.1777520087</v>
      </c>
    </row>
    <row r="2116" spans="1:10" ht="37.5" x14ac:dyDescent="0.2">
      <c r="A2116" s="469" t="s">
        <v>615</v>
      </c>
      <c r="B2116" s="339" t="s">
        <v>616</v>
      </c>
      <c r="C2116" s="340"/>
      <c r="D2116" s="341">
        <v>450000</v>
      </c>
      <c r="E2116" s="341"/>
      <c r="F2116" s="470"/>
      <c r="G2116" s="252">
        <v>0.2</v>
      </c>
      <c r="H2116" s="584">
        <f>D2113-D2113*G2116</f>
        <v>43144356.207999997</v>
      </c>
      <c r="I2116" s="584"/>
      <c r="J2116" s="253">
        <f>H2116-D2114-D2121-D2122-D2147-D2149-D2150-D2151</f>
        <v>4127222.9147520047</v>
      </c>
    </row>
    <row r="2117" spans="1:10" ht="37.5" x14ac:dyDescent="0.2">
      <c r="A2117" s="469" t="s">
        <v>617</v>
      </c>
      <c r="B2117" s="339" t="s">
        <v>618</v>
      </c>
      <c r="C2117" s="340"/>
      <c r="D2117" s="341">
        <v>700000</v>
      </c>
      <c r="E2117" s="341"/>
      <c r="F2117" s="470"/>
      <c r="G2117" s="615"/>
    </row>
    <row r="2118" spans="1:10" ht="56.25" x14ac:dyDescent="0.2">
      <c r="A2118" s="469" t="s">
        <v>619</v>
      </c>
      <c r="B2118" s="339" t="s">
        <v>620</v>
      </c>
      <c r="C2118" s="340"/>
      <c r="D2118" s="341">
        <v>250000</v>
      </c>
      <c r="E2118" s="341"/>
      <c r="F2118" s="470"/>
      <c r="G2118" s="615">
        <f>D2113*1/300*16%</f>
        <v>28762.904138666665</v>
      </c>
    </row>
    <row r="2119" spans="1:10" ht="37.5" x14ac:dyDescent="0.2">
      <c r="A2119" s="469" t="s">
        <v>621</v>
      </c>
      <c r="B2119" s="339" t="s">
        <v>1055</v>
      </c>
      <c r="C2119" s="340"/>
      <c r="D2119" s="341">
        <v>300000</v>
      </c>
      <c r="E2119" s="341"/>
      <c r="F2119" s="718" t="s">
        <v>1056</v>
      </c>
    </row>
    <row r="2120" spans="1:10" ht="18.75" x14ac:dyDescent="0.2">
      <c r="A2120" s="469" t="s">
        <v>881</v>
      </c>
      <c r="B2120" s="339" t="s">
        <v>1057</v>
      </c>
      <c r="C2120" s="340"/>
      <c r="D2120" s="341">
        <v>400000</v>
      </c>
      <c r="E2120" s="341"/>
      <c r="F2120" s="718"/>
    </row>
    <row r="2121" spans="1:10" ht="18.75" x14ac:dyDescent="0.2">
      <c r="A2121" s="471" t="s">
        <v>623</v>
      </c>
      <c r="B2121" s="199" t="s">
        <v>624</v>
      </c>
      <c r="C2121" s="200"/>
      <c r="D2121" s="202">
        <v>1500000</v>
      </c>
      <c r="E2121" s="202"/>
      <c r="F2121" s="203"/>
    </row>
    <row r="2122" spans="1:10" ht="37.5" x14ac:dyDescent="0.2">
      <c r="A2122" s="471" t="s">
        <v>625</v>
      </c>
      <c r="B2122" s="199" t="s">
        <v>626</v>
      </c>
      <c r="C2122" s="200"/>
      <c r="D2122" s="202">
        <v>2000000</v>
      </c>
      <c r="E2122" s="202"/>
      <c r="F2122" s="203"/>
    </row>
    <row r="2123" spans="1:10" ht="18.75" x14ac:dyDescent="0.2">
      <c r="A2123" s="472" t="s">
        <v>627</v>
      </c>
      <c r="B2123" s="473" t="s">
        <v>289</v>
      </c>
      <c r="C2123" s="474">
        <v>0.6</v>
      </c>
      <c r="D2123" s="475">
        <f>D2113*C2123</f>
        <v>32358267.155999996</v>
      </c>
      <c r="E2123" s="476"/>
      <c r="F2123" s="477"/>
    </row>
    <row r="2124" spans="1:10" ht="18.75" x14ac:dyDescent="0.2">
      <c r="A2124" s="478" t="s">
        <v>628</v>
      </c>
      <c r="B2124" s="479" t="s">
        <v>336</v>
      </c>
      <c r="C2124" s="480">
        <v>0.02</v>
      </c>
      <c r="D2124" s="481">
        <f>C2124*D2123</f>
        <v>647165.34311999998</v>
      </c>
      <c r="E2124" s="482"/>
      <c r="F2124" s="483"/>
    </row>
    <row r="2125" spans="1:10" ht="18.75" x14ac:dyDescent="0.2">
      <c r="A2125" s="484" t="s">
        <v>629</v>
      </c>
      <c r="B2125" s="479" t="s">
        <v>357</v>
      </c>
      <c r="C2125" s="480">
        <v>0.05</v>
      </c>
      <c r="D2125" s="485">
        <f>D2123*C2125</f>
        <v>1617913.3577999999</v>
      </c>
      <c r="E2125" s="486"/>
      <c r="F2125" s="363"/>
    </row>
    <row r="2126" spans="1:10" ht="18.75" x14ac:dyDescent="0.2">
      <c r="A2126" s="478" t="s">
        <v>630</v>
      </c>
      <c r="B2126" s="479" t="s">
        <v>631</v>
      </c>
      <c r="C2126" s="480">
        <v>0.02</v>
      </c>
      <c r="D2126" s="485">
        <f>C2126*D2123</f>
        <v>647165.34311999998</v>
      </c>
      <c r="E2126" s="487"/>
      <c r="F2126" s="488"/>
    </row>
    <row r="2127" spans="1:10" ht="37.5" x14ac:dyDescent="0.2">
      <c r="A2127" s="478" t="s">
        <v>632</v>
      </c>
      <c r="B2127" s="479" t="s">
        <v>633</v>
      </c>
      <c r="C2127" s="489">
        <v>0.04</v>
      </c>
      <c r="D2127" s="318">
        <f>D2123*C2127</f>
        <v>1294330.68624</v>
      </c>
      <c r="E2127" s="490"/>
      <c r="F2127" s="319"/>
    </row>
    <row r="2128" spans="1:10" ht="18.75" x14ac:dyDescent="0.2">
      <c r="A2128" s="484" t="s">
        <v>634</v>
      </c>
      <c r="B2128" s="479" t="s">
        <v>20</v>
      </c>
      <c r="C2128" s="489">
        <v>1.4999999999999999E-2</v>
      </c>
      <c r="D2128" s="318">
        <f>D2123*C2128</f>
        <v>485374.00733999989</v>
      </c>
      <c r="E2128" s="490"/>
      <c r="F2128" s="319"/>
    </row>
    <row r="2129" spans="1:6" ht="18.75" x14ac:dyDescent="0.2">
      <c r="A2129" s="478" t="s">
        <v>635</v>
      </c>
      <c r="B2129" s="479" t="s">
        <v>267</v>
      </c>
      <c r="C2129" s="489">
        <v>7.0000000000000007E-2</v>
      </c>
      <c r="D2129" s="318">
        <f>D2123*C2129</f>
        <v>2265078.7009199997</v>
      </c>
      <c r="E2129" s="490"/>
      <c r="F2129" s="319"/>
    </row>
    <row r="2130" spans="1:6" ht="18.75" x14ac:dyDescent="0.2">
      <c r="A2130" s="478" t="s">
        <v>636</v>
      </c>
      <c r="B2130" s="479" t="s">
        <v>256</v>
      </c>
      <c r="C2130" s="489">
        <v>0.1</v>
      </c>
      <c r="D2130" s="318">
        <f>D2123*C2130</f>
        <v>3235826.7155999998</v>
      </c>
      <c r="E2130" s="490"/>
      <c r="F2130" s="319"/>
    </row>
    <row r="2131" spans="1:6" ht="18.75" x14ac:dyDescent="0.2">
      <c r="A2131" s="484" t="s">
        <v>637</v>
      </c>
      <c r="B2131" s="479" t="s">
        <v>319</v>
      </c>
      <c r="C2131" s="489">
        <v>0.05</v>
      </c>
      <c r="D2131" s="318">
        <f>D2123*C2131</f>
        <v>1617913.3577999999</v>
      </c>
      <c r="E2131" s="490"/>
      <c r="F2131" s="319"/>
    </row>
    <row r="2132" spans="1:6" ht="18.75" x14ac:dyDescent="0.2">
      <c r="A2132" s="478" t="s">
        <v>638</v>
      </c>
      <c r="B2132" s="479" t="s">
        <v>294</v>
      </c>
      <c r="C2132" s="489">
        <v>0.03</v>
      </c>
      <c r="D2132" s="318">
        <f>D2123*C2132</f>
        <v>970748.01467999979</v>
      </c>
      <c r="E2132" s="490"/>
      <c r="F2132" s="319"/>
    </row>
    <row r="2133" spans="1:6" ht="18.75" x14ac:dyDescent="0.2">
      <c r="A2133" s="478" t="s">
        <v>639</v>
      </c>
      <c r="B2133" s="479" t="s">
        <v>322</v>
      </c>
      <c r="C2133" s="489">
        <v>0.03</v>
      </c>
      <c r="D2133" s="318">
        <f>D2123*C2133</f>
        <v>970748.01467999979</v>
      </c>
      <c r="E2133" s="490"/>
      <c r="F2133" s="319"/>
    </row>
    <row r="2134" spans="1:6" ht="18.75" x14ac:dyDescent="0.2">
      <c r="A2134" s="484" t="s">
        <v>640</v>
      </c>
      <c r="B2134" s="479" t="s">
        <v>323</v>
      </c>
      <c r="C2134" s="489">
        <v>0.05</v>
      </c>
      <c r="D2134" s="318">
        <f>D2123*C2134</f>
        <v>1617913.3577999999</v>
      </c>
      <c r="E2134" s="490"/>
      <c r="F2134" s="319"/>
    </row>
    <row r="2135" spans="1:6" ht="18.75" x14ac:dyDescent="0.2">
      <c r="A2135" s="478" t="s">
        <v>641</v>
      </c>
      <c r="B2135" s="479" t="s">
        <v>642</v>
      </c>
      <c r="C2135" s="489">
        <v>0.05</v>
      </c>
      <c r="D2135" s="318">
        <f>D2123*C2135</f>
        <v>1617913.3577999999</v>
      </c>
      <c r="E2135" s="490"/>
      <c r="F2135" s="319"/>
    </row>
    <row r="2136" spans="1:6" ht="18.75" x14ac:dyDescent="0.2">
      <c r="A2136" s="478" t="s">
        <v>643</v>
      </c>
      <c r="B2136" s="479" t="s">
        <v>812</v>
      </c>
      <c r="C2136" s="489">
        <v>0.05</v>
      </c>
      <c r="D2136" s="318">
        <f>C2136*D2123</f>
        <v>1617913.3577999999</v>
      </c>
      <c r="E2136" s="490"/>
      <c r="F2136" s="319"/>
    </row>
    <row r="2137" spans="1:6" ht="18.75" x14ac:dyDescent="0.2">
      <c r="A2137" s="484" t="s">
        <v>644</v>
      </c>
      <c r="B2137" s="479" t="s">
        <v>259</v>
      </c>
      <c r="C2137" s="489">
        <v>3.5000000000000003E-2</v>
      </c>
      <c r="D2137" s="318">
        <f>D2123*C2137</f>
        <v>1132539.3504599999</v>
      </c>
      <c r="E2137" s="490"/>
      <c r="F2137" s="319"/>
    </row>
    <row r="2138" spans="1:6" ht="18.75" x14ac:dyDescent="0.2">
      <c r="A2138" s="478" t="s">
        <v>645</v>
      </c>
      <c r="B2138" s="479" t="s">
        <v>1058</v>
      </c>
      <c r="C2138" s="489">
        <v>0.04</v>
      </c>
      <c r="D2138" s="318">
        <f>C2138*D2123</f>
        <v>1294330.68624</v>
      </c>
      <c r="E2138" s="490"/>
      <c r="F2138" s="319"/>
    </row>
    <row r="2139" spans="1:6" ht="18.75" x14ac:dyDescent="0.2">
      <c r="A2139" s="478" t="s">
        <v>646</v>
      </c>
      <c r="B2139" s="479" t="s">
        <v>260</v>
      </c>
      <c r="C2139" s="489">
        <v>0.01</v>
      </c>
      <c r="D2139" s="318">
        <f>D2123*C2139</f>
        <v>323582.67155999999</v>
      </c>
      <c r="E2139" s="490"/>
      <c r="F2139" s="319"/>
    </row>
    <row r="2140" spans="1:6" ht="18.75" x14ac:dyDescent="0.2">
      <c r="A2140" s="484" t="s">
        <v>647</v>
      </c>
      <c r="B2140" s="479" t="s">
        <v>272</v>
      </c>
      <c r="C2140" s="489">
        <v>8.0000000000000002E-3</v>
      </c>
      <c r="D2140" s="318">
        <f>D2123*C2140</f>
        <v>258866.13724799998</v>
      </c>
      <c r="E2140" s="490"/>
      <c r="F2140" s="319"/>
    </row>
    <row r="2141" spans="1:6" ht="18.75" x14ac:dyDescent="0.2">
      <c r="A2141" s="478" t="s">
        <v>648</v>
      </c>
      <c r="B2141" s="479" t="s">
        <v>261</v>
      </c>
      <c r="C2141" s="489">
        <v>1.4999999999999999E-2</v>
      </c>
      <c r="D2141" s="318">
        <f>D2123*C2141</f>
        <v>485374.00733999989</v>
      </c>
      <c r="E2141" s="490"/>
      <c r="F2141" s="319"/>
    </row>
    <row r="2142" spans="1:6" ht="18.75" x14ac:dyDescent="0.2">
      <c r="A2142" s="478" t="s">
        <v>649</v>
      </c>
      <c r="B2142" s="479" t="s">
        <v>273</v>
      </c>
      <c r="C2142" s="489">
        <v>7.4999999999999997E-3</v>
      </c>
      <c r="D2142" s="318">
        <f>D2123*C2142</f>
        <v>242687.00366999995</v>
      </c>
      <c r="E2142" s="490"/>
      <c r="F2142" s="319"/>
    </row>
    <row r="2143" spans="1:6" ht="18.75" x14ac:dyDescent="0.2">
      <c r="A2143" s="484" t="s">
        <v>650</v>
      </c>
      <c r="B2143" s="479" t="s">
        <v>262</v>
      </c>
      <c r="C2143" s="489">
        <v>7.4999999999999997E-3</v>
      </c>
      <c r="D2143" s="318">
        <f>D2123*C2143</f>
        <v>242687.00366999995</v>
      </c>
      <c r="E2143" s="490"/>
      <c r="F2143" s="319"/>
    </row>
    <row r="2144" spans="1:6" ht="18.75" x14ac:dyDescent="0.2">
      <c r="A2144" s="478" t="s">
        <v>652</v>
      </c>
      <c r="B2144" s="479" t="s">
        <v>341</v>
      </c>
      <c r="C2144" s="489">
        <v>7.0000000000000007E-2</v>
      </c>
      <c r="D2144" s="318">
        <f>D2123*C2144</f>
        <v>2265078.7009199997</v>
      </c>
      <c r="E2144" s="490"/>
      <c r="F2144" s="319"/>
    </row>
    <row r="2145" spans="1:10" ht="18.75" x14ac:dyDescent="0.2">
      <c r="A2145" s="478" t="s">
        <v>818</v>
      </c>
      <c r="B2145" s="479" t="s">
        <v>651</v>
      </c>
      <c r="C2145" s="489">
        <v>0.01</v>
      </c>
      <c r="D2145" s="318">
        <f>C2145*D2113</f>
        <v>539304.45259999996</v>
      </c>
      <c r="E2145" s="490"/>
      <c r="F2145" s="319"/>
    </row>
    <row r="2146" spans="1:10" ht="18.75" x14ac:dyDescent="0.2">
      <c r="A2146" s="478" t="s">
        <v>821</v>
      </c>
      <c r="B2146" s="479" t="s">
        <v>653</v>
      </c>
      <c r="C2146" s="489">
        <v>7.0000000000000007E-2</v>
      </c>
      <c r="D2146" s="318">
        <f>C2146*D2123</f>
        <v>2265078.7009199997</v>
      </c>
      <c r="E2146" s="490"/>
      <c r="F2146" s="319"/>
    </row>
    <row r="2147" spans="1:10" ht="18.75" x14ac:dyDescent="0.2">
      <c r="A2147" s="491"/>
      <c r="B2147" s="473" t="s">
        <v>654</v>
      </c>
      <c r="C2147" s="474">
        <f>SUM(C2124:C2146)</f>
        <v>0.84800000000000009</v>
      </c>
      <c r="D2147" s="476">
        <f>SUM(D2124:D2146)</f>
        <v>27655532.329327993</v>
      </c>
      <c r="E2147" s="492"/>
      <c r="F2147" s="477"/>
    </row>
    <row r="2148" spans="1:10" ht="18.75" x14ac:dyDescent="0.2">
      <c r="A2148" s="471" t="s">
        <v>655</v>
      </c>
      <c r="B2148" s="201" t="s">
        <v>656</v>
      </c>
      <c r="C2148" s="206"/>
      <c r="D2148" s="202"/>
      <c r="E2148" s="207"/>
      <c r="F2148" s="203"/>
    </row>
    <row r="2149" spans="1:10" ht="18.75" x14ac:dyDescent="0.2">
      <c r="A2149" s="471" t="s">
        <v>657</v>
      </c>
      <c r="B2149" s="201" t="s">
        <v>343</v>
      </c>
      <c r="C2149" s="206">
        <v>0.02</v>
      </c>
      <c r="D2149" s="202">
        <f>C2149*D2123</f>
        <v>647165.34311999998</v>
      </c>
      <c r="E2149" s="207"/>
      <c r="F2149" s="203"/>
    </row>
    <row r="2150" spans="1:10" ht="18.75" x14ac:dyDescent="0.2">
      <c r="A2150" s="471" t="s">
        <v>658</v>
      </c>
      <c r="B2150" s="201" t="s">
        <v>659</v>
      </c>
      <c r="C2150" s="206">
        <v>0.05</v>
      </c>
      <c r="D2150" s="202">
        <f>C2150*D2123</f>
        <v>1617913.3577999999</v>
      </c>
      <c r="E2150" s="207"/>
      <c r="F2150" s="203"/>
    </row>
    <row r="2151" spans="1:10" ht="18.75" x14ac:dyDescent="0.2">
      <c r="A2151" s="471" t="s">
        <v>660</v>
      </c>
      <c r="B2151" s="201" t="s">
        <v>1059</v>
      </c>
      <c r="C2151" s="206">
        <v>0.05</v>
      </c>
      <c r="D2151" s="202">
        <f>D2113*C2151</f>
        <v>2696522.2630000003</v>
      </c>
      <c r="E2151" s="211"/>
      <c r="F2151" s="212"/>
    </row>
    <row r="2152" spans="1:10" ht="31.5" x14ac:dyDescent="0.2">
      <c r="A2152" s="471"/>
      <c r="B2152" s="185" t="s">
        <v>284</v>
      </c>
      <c r="C2152" s="195">
        <f>D2152/D2113</f>
        <v>0.27652862673123801</v>
      </c>
      <c r="D2152" s="213">
        <f>D2113-D2114-D2121-D2122-D2147-D2149-D2150-D2151</f>
        <v>14913311.966752004</v>
      </c>
      <c r="E2152" s="214"/>
      <c r="F2152" s="203"/>
    </row>
    <row r="2153" spans="1:10" ht="19.5" x14ac:dyDescent="0.2">
      <c r="A2153" s="471"/>
      <c r="B2153" s="215" t="s">
        <v>661</v>
      </c>
      <c r="C2153" s="195">
        <f>D2153/D2113</f>
        <v>0.326528626731238</v>
      </c>
      <c r="D2153" s="202">
        <f>D2151+D2152</f>
        <v>17609834.229752004</v>
      </c>
      <c r="E2153" s="214"/>
      <c r="F2153" s="203"/>
    </row>
    <row r="2154" spans="1:10" x14ac:dyDescent="0.2">
      <c r="A2154" s="218"/>
      <c r="B2154" s="219" t="s">
        <v>301</v>
      </c>
      <c r="C2154" s="220"/>
      <c r="D2154" s="218"/>
      <c r="E2154" s="221"/>
      <c r="F2154" s="218"/>
    </row>
    <row r="2155" spans="1:10" ht="177.75" customHeight="1" x14ac:dyDescent="0.2">
      <c r="A2155" s="218"/>
      <c r="B2155" s="218" t="s">
        <v>302</v>
      </c>
      <c r="C2155" s="817" t="s">
        <v>1060</v>
      </c>
      <c r="D2155" s="818"/>
      <c r="E2155" s="818"/>
      <c r="F2155" s="819"/>
      <c r="G2155" s="615"/>
    </row>
    <row r="2156" spans="1:10" x14ac:dyDescent="0.2">
      <c r="A2156" s="218"/>
      <c r="B2156" s="218" t="s">
        <v>303</v>
      </c>
      <c r="C2156" s="896" t="s">
        <v>1061</v>
      </c>
      <c r="D2156" s="897"/>
      <c r="E2156" s="897"/>
      <c r="F2156" s="898"/>
    </row>
    <row r="2157" spans="1:10" ht="96" customHeight="1" x14ac:dyDescent="0.2">
      <c r="A2157" s="804" t="s">
        <v>1062</v>
      </c>
      <c r="B2157" s="805"/>
      <c r="C2157" s="805"/>
      <c r="D2157" s="805"/>
      <c r="E2157" s="805"/>
      <c r="F2157" s="806"/>
      <c r="G2157" s="250" t="s">
        <v>348</v>
      </c>
      <c r="H2157" s="250" t="s">
        <v>349</v>
      </c>
      <c r="I2157" s="250"/>
      <c r="J2157" s="251" t="s">
        <v>350</v>
      </c>
    </row>
    <row r="2158" spans="1:10" ht="18.75" x14ac:dyDescent="0.2">
      <c r="A2158" s="173">
        <v>1</v>
      </c>
      <c r="B2158" s="254" t="s">
        <v>352</v>
      </c>
      <c r="C2158" s="175"/>
      <c r="D2158" s="798">
        <f>10883354+SUM(D2172:D2175)+D2202</f>
        <v>13033354</v>
      </c>
      <c r="E2158" s="799"/>
      <c r="F2158" s="800"/>
      <c r="G2158" s="252">
        <v>0.05</v>
      </c>
      <c r="H2158" s="584">
        <f>D2158-D2158*G2158</f>
        <v>12381686.300000001</v>
      </c>
      <c r="I2158" s="584"/>
      <c r="J2158" s="253">
        <f>H2158-D2159-D2160*0.35-SUM(D2166:D2175)-D2176*0.35-D2178*0.35-SUM(D2179:D2180)-D2203-D2204</f>
        <v>1899460.8190000006</v>
      </c>
    </row>
    <row r="2159" spans="1:10" ht="18.75" x14ac:dyDescent="0.2">
      <c r="A2159" s="173">
        <v>2</v>
      </c>
      <c r="B2159" s="254" t="s">
        <v>841</v>
      </c>
      <c r="C2159" s="609"/>
      <c r="D2159" s="192">
        <v>100000</v>
      </c>
      <c r="E2159" s="610"/>
      <c r="F2159" s="609"/>
      <c r="G2159" s="252">
        <v>0.1</v>
      </c>
      <c r="H2159" s="584">
        <f>D2158-D2158*G2159</f>
        <v>11730018.6</v>
      </c>
      <c r="I2159" s="584"/>
      <c r="J2159" s="253">
        <f>H2159-D2159-D2160*0.35-SUM(D2166:D2175)-D2176*0.35-D2178*0.35-SUM(D2179:D2180)-D2203-D2204</f>
        <v>1247793.1189999995</v>
      </c>
    </row>
    <row r="2160" spans="1:10" ht="18.75" x14ac:dyDescent="0.2">
      <c r="A2160" s="493" t="s">
        <v>623</v>
      </c>
      <c r="B2160" s="494" t="s">
        <v>842</v>
      </c>
      <c r="C2160" s="495"/>
      <c r="D2160" s="496">
        <f>SUM(D2161:D2164)</f>
        <v>200000</v>
      </c>
      <c r="E2160" s="496"/>
      <c r="F2160" s="496"/>
      <c r="G2160" s="252">
        <v>0.15</v>
      </c>
      <c r="H2160" s="584">
        <f>D2158-D2158*G2160</f>
        <v>11078350.9</v>
      </c>
      <c r="I2160" s="584"/>
      <c r="J2160" s="253">
        <f>H2160-D2159-D2160*0.35-SUM(D2166:D2175)-D2176*0.35-D2178*0.35-SUM(D2179:D2180)-D2203-D2204</f>
        <v>596125.41900000023</v>
      </c>
    </row>
    <row r="2161" spans="1:10" ht="18.75" x14ac:dyDescent="0.2">
      <c r="A2161" s="497" t="s">
        <v>678</v>
      </c>
      <c r="B2161" s="611" t="s">
        <v>688</v>
      </c>
      <c r="C2161" s="611"/>
      <c r="D2161" s="612">
        <v>50000</v>
      </c>
      <c r="E2161" s="501"/>
      <c r="F2161" s="419" t="s">
        <v>1063</v>
      </c>
      <c r="G2161" s="252">
        <v>0.2</v>
      </c>
      <c r="H2161" s="584">
        <f>D2158-D2158*G2161</f>
        <v>10426683.199999999</v>
      </c>
      <c r="I2161" s="584"/>
      <c r="J2161" s="253">
        <f>H2161-D2159-D2160*0.35-SUM(D2166:D2175)-D2176*0.35-D2178*0.35-SUM(D2179:D2180)-D2203-D2204</f>
        <v>-55542.281000000832</v>
      </c>
    </row>
    <row r="2162" spans="1:10" ht="18.75" x14ac:dyDescent="0.2">
      <c r="A2162" s="497" t="s">
        <v>680</v>
      </c>
      <c r="B2162" s="611" t="s">
        <v>690</v>
      </c>
      <c r="C2162" s="611"/>
      <c r="D2162" s="612">
        <v>100000</v>
      </c>
      <c r="E2162" s="501"/>
      <c r="F2162" s="419" t="s">
        <v>1063</v>
      </c>
      <c r="G2162" s="252">
        <v>0.25</v>
      </c>
      <c r="H2162" s="584">
        <f>D2158-D2158*G2162</f>
        <v>9775015.5</v>
      </c>
      <c r="I2162" s="584"/>
      <c r="J2162" s="253">
        <f>H2162-D2159-D2160*0.35-SUM(D2166:D2175)-D2176*0.35-D2178*0.35-SUM(D2179:D2180)-D2203-D2204</f>
        <v>-707209.98100000015</v>
      </c>
    </row>
    <row r="2163" spans="1:10" x14ac:dyDescent="0.2">
      <c r="A2163" s="497" t="s">
        <v>738</v>
      </c>
      <c r="B2163" s="611" t="s">
        <v>692</v>
      </c>
      <c r="C2163" s="611"/>
      <c r="D2163" s="612">
        <v>50000</v>
      </c>
      <c r="E2163" s="501"/>
      <c r="F2163" s="419" t="s">
        <v>1063</v>
      </c>
    </row>
    <row r="2164" spans="1:10" ht="30" x14ac:dyDescent="0.2">
      <c r="A2164" s="497" t="s">
        <v>684</v>
      </c>
      <c r="B2164" s="611" t="s">
        <v>844</v>
      </c>
      <c r="C2164" s="611"/>
      <c r="D2164" s="612"/>
      <c r="E2164" s="501"/>
      <c r="F2164" s="419" t="s">
        <v>1064</v>
      </c>
    </row>
    <row r="2165" spans="1:10" x14ac:dyDescent="0.2">
      <c r="A2165" s="502" t="s">
        <v>625</v>
      </c>
      <c r="B2165" s="503" t="s">
        <v>846</v>
      </c>
      <c r="C2165" s="504"/>
      <c r="D2165" s="505">
        <f>SUM(D2166:D2176)</f>
        <v>3865000</v>
      </c>
      <c r="E2165" s="506"/>
      <c r="F2165" s="507"/>
    </row>
    <row r="2166" spans="1:10" x14ac:dyDescent="0.2">
      <c r="A2166" s="1009" t="s">
        <v>687</v>
      </c>
      <c r="B2166" s="509" t="s">
        <v>694</v>
      </c>
      <c r="C2166" s="510"/>
      <c r="D2166" s="511">
        <v>350000</v>
      </c>
      <c r="E2166" s="512"/>
      <c r="F2166" s="513" t="s">
        <v>1065</v>
      </c>
    </row>
    <row r="2167" spans="1:10" x14ac:dyDescent="0.2">
      <c r="A2167" s="1010"/>
      <c r="B2167" s="509" t="s">
        <v>696</v>
      </c>
      <c r="C2167" s="510"/>
      <c r="D2167" s="511">
        <v>5000</v>
      </c>
      <c r="E2167" s="512"/>
      <c r="F2167" s="513"/>
    </row>
    <row r="2168" spans="1:10" x14ac:dyDescent="0.2">
      <c r="A2168" s="1009" t="s">
        <v>689</v>
      </c>
      <c r="B2168" s="509" t="s">
        <v>561</v>
      </c>
      <c r="C2168" s="510"/>
      <c r="D2168" s="511">
        <v>400000</v>
      </c>
      <c r="E2168" s="512"/>
      <c r="F2168" s="513" t="s">
        <v>717</v>
      </c>
    </row>
    <row r="2169" spans="1:10" x14ac:dyDescent="0.2">
      <c r="A2169" s="1010"/>
      <c r="B2169" s="509" t="s">
        <v>697</v>
      </c>
      <c r="C2169" s="510"/>
      <c r="D2169" s="712">
        <v>150000</v>
      </c>
      <c r="E2169" s="512"/>
      <c r="F2169" s="513" t="s">
        <v>698</v>
      </c>
    </row>
    <row r="2170" spans="1:10" ht="30" x14ac:dyDescent="0.2">
      <c r="A2170" s="508" t="s">
        <v>691</v>
      </c>
      <c r="B2170" s="509" t="s">
        <v>850</v>
      </c>
      <c r="C2170" s="510"/>
      <c r="D2170" s="712">
        <v>950000</v>
      </c>
      <c r="E2170" s="512"/>
      <c r="F2170" s="513" t="s">
        <v>1066</v>
      </c>
    </row>
    <row r="2171" spans="1:10" x14ac:dyDescent="0.2">
      <c r="A2171" s="508" t="s">
        <v>702</v>
      </c>
      <c r="B2171" s="509" t="s">
        <v>703</v>
      </c>
      <c r="C2171" s="510"/>
      <c r="D2171" s="712">
        <v>500000</v>
      </c>
      <c r="E2171" s="512"/>
      <c r="F2171" s="513" t="s">
        <v>1067</v>
      </c>
    </row>
    <row r="2172" spans="1:10" x14ac:dyDescent="0.2">
      <c r="A2172" s="508" t="s">
        <v>704</v>
      </c>
      <c r="B2172" s="509" t="s">
        <v>681</v>
      </c>
      <c r="C2172" s="510"/>
      <c r="D2172" s="712">
        <v>150000</v>
      </c>
      <c r="E2172" s="512"/>
      <c r="F2172" s="513"/>
    </row>
    <row r="2173" spans="1:10" x14ac:dyDescent="0.2">
      <c r="A2173" s="508" t="s">
        <v>751</v>
      </c>
      <c r="B2173" s="509" t="s">
        <v>353</v>
      </c>
      <c r="C2173" s="510"/>
      <c r="D2173" s="712">
        <v>550000</v>
      </c>
      <c r="E2173" s="512"/>
      <c r="F2173" s="513"/>
    </row>
    <row r="2174" spans="1:10" x14ac:dyDescent="0.2">
      <c r="A2174" s="508" t="s">
        <v>752</v>
      </c>
      <c r="B2174" s="509" t="s">
        <v>745</v>
      </c>
      <c r="C2174" s="510"/>
      <c r="D2174" s="712">
        <v>250000</v>
      </c>
      <c r="E2174" s="512"/>
      <c r="F2174" s="513"/>
    </row>
    <row r="2175" spans="1:10" x14ac:dyDescent="0.2">
      <c r="A2175" s="508" t="s">
        <v>753</v>
      </c>
      <c r="B2175" s="509" t="s">
        <v>746</v>
      </c>
      <c r="C2175" s="510"/>
      <c r="D2175" s="511">
        <v>200000</v>
      </c>
      <c r="E2175" s="512"/>
      <c r="F2175" s="513"/>
    </row>
    <row r="2176" spans="1:10" x14ac:dyDescent="0.2">
      <c r="A2176" s="508" t="s">
        <v>755</v>
      </c>
      <c r="B2176" s="509" t="s">
        <v>705</v>
      </c>
      <c r="C2176" s="510"/>
      <c r="D2176" s="511">
        <v>360000</v>
      </c>
      <c r="E2176" s="512"/>
      <c r="F2176" s="513" t="s">
        <v>1063</v>
      </c>
    </row>
    <row r="2177" spans="1:6" x14ac:dyDescent="0.2">
      <c r="A2177" s="538" t="s">
        <v>627</v>
      </c>
      <c r="B2177" s="539" t="s">
        <v>706</v>
      </c>
      <c r="C2177" s="540"/>
      <c r="D2177" s="541">
        <f>SUM(D2178:D2180)</f>
        <v>1350000</v>
      </c>
      <c r="E2177" s="542"/>
      <c r="F2177" s="543"/>
    </row>
    <row r="2178" spans="1:6" x14ac:dyDescent="0.2">
      <c r="A2178" s="544" t="s">
        <v>628</v>
      </c>
      <c r="B2178" s="545" t="s">
        <v>707</v>
      </c>
      <c r="C2178" s="546"/>
      <c r="D2178" s="547">
        <v>350000</v>
      </c>
      <c r="E2178" s="548"/>
      <c r="F2178" s="549" t="s">
        <v>1063</v>
      </c>
    </row>
    <row r="2179" spans="1:6" x14ac:dyDescent="0.2">
      <c r="A2179" s="544" t="s">
        <v>629</v>
      </c>
      <c r="B2179" s="545" t="s">
        <v>563</v>
      </c>
      <c r="C2179" s="546"/>
      <c r="D2179" s="547">
        <v>550000</v>
      </c>
      <c r="E2179" s="548"/>
      <c r="F2179" s="549" t="s">
        <v>708</v>
      </c>
    </row>
    <row r="2180" spans="1:6" x14ac:dyDescent="0.2">
      <c r="A2180" s="544" t="s">
        <v>630</v>
      </c>
      <c r="B2180" s="545" t="s">
        <v>564</v>
      </c>
      <c r="C2180" s="546"/>
      <c r="D2180" s="547">
        <v>450000</v>
      </c>
      <c r="E2180" s="548"/>
      <c r="F2180" s="549" t="s">
        <v>124</v>
      </c>
    </row>
    <row r="2181" spans="1:6" ht="29.25" x14ac:dyDescent="0.2">
      <c r="A2181" s="550" t="s">
        <v>655</v>
      </c>
      <c r="B2181" s="551" t="s">
        <v>1041</v>
      </c>
      <c r="C2181" s="552">
        <v>0.5</v>
      </c>
      <c r="D2181" s="553">
        <f>D2158*C2181</f>
        <v>6516677</v>
      </c>
      <c r="E2181" s="554"/>
      <c r="F2181" s="555"/>
    </row>
    <row r="2182" spans="1:6" x14ac:dyDescent="0.2">
      <c r="A2182" s="556" t="s">
        <v>709</v>
      </c>
      <c r="B2182" s="557" t="s">
        <v>357</v>
      </c>
      <c r="C2182" s="558">
        <v>0.08</v>
      </c>
      <c r="D2182" s="559">
        <f>C2182*D2181</f>
        <v>521334.16000000003</v>
      </c>
      <c r="E2182" s="560"/>
      <c r="F2182" s="561"/>
    </row>
    <row r="2183" spans="1:6" ht="30" x14ac:dyDescent="0.2">
      <c r="A2183" s="556" t="s">
        <v>711</v>
      </c>
      <c r="B2183" s="557" t="s">
        <v>712</v>
      </c>
      <c r="C2183" s="558">
        <v>0.06</v>
      </c>
      <c r="D2183" s="559">
        <f>D2181*C2183</f>
        <v>391000.62</v>
      </c>
      <c r="E2183" s="561"/>
      <c r="F2183" s="561"/>
    </row>
    <row r="2184" spans="1:6" x14ac:dyDescent="0.2">
      <c r="A2184" s="556" t="s">
        <v>713</v>
      </c>
      <c r="B2184" s="557" t="s">
        <v>355</v>
      </c>
      <c r="C2184" s="558">
        <v>0.05</v>
      </c>
      <c r="D2184" s="559">
        <f>D2181*C2184</f>
        <v>325833.85000000003</v>
      </c>
      <c r="E2184" s="561"/>
      <c r="F2184" s="561"/>
    </row>
    <row r="2185" spans="1:6" x14ac:dyDescent="0.2">
      <c r="A2185" s="556" t="s">
        <v>715</v>
      </c>
      <c r="B2185" s="557" t="s">
        <v>290</v>
      </c>
      <c r="C2185" s="558">
        <v>2.5000000000000001E-2</v>
      </c>
      <c r="D2185" s="559">
        <f>C2185*D2181</f>
        <v>162916.92500000002</v>
      </c>
      <c r="E2185" s="560"/>
      <c r="F2185" s="561" t="s">
        <v>124</v>
      </c>
    </row>
    <row r="2186" spans="1:6" x14ac:dyDescent="0.2">
      <c r="A2186" s="556" t="s">
        <v>716</v>
      </c>
      <c r="B2186" s="557" t="s">
        <v>360</v>
      </c>
      <c r="C2186" s="558">
        <v>0.05</v>
      </c>
      <c r="D2186" s="559">
        <f>D2181*C2186</f>
        <v>325833.85000000003</v>
      </c>
      <c r="E2186" s="560"/>
      <c r="F2186" s="561" t="s">
        <v>717</v>
      </c>
    </row>
    <row r="2187" spans="1:6" x14ac:dyDescent="0.2">
      <c r="A2187" s="556" t="s">
        <v>718</v>
      </c>
      <c r="B2187" s="557" t="s">
        <v>361</v>
      </c>
      <c r="C2187" s="558">
        <v>0.06</v>
      </c>
      <c r="D2187" s="559">
        <f>C2187*D2181</f>
        <v>391000.62</v>
      </c>
      <c r="E2187" s="560"/>
      <c r="F2187" s="561" t="s">
        <v>857</v>
      </c>
    </row>
    <row r="2188" spans="1:6" x14ac:dyDescent="0.2">
      <c r="A2188" s="556" t="s">
        <v>719</v>
      </c>
      <c r="B2188" s="557" t="s">
        <v>364</v>
      </c>
      <c r="C2188" s="558">
        <v>0.03</v>
      </c>
      <c r="D2188" s="559">
        <f>C2188*D2181</f>
        <v>195500.31</v>
      </c>
      <c r="E2188" s="560"/>
      <c r="F2188" s="561"/>
    </row>
    <row r="2189" spans="1:6" x14ac:dyDescent="0.2">
      <c r="A2189" s="556" t="s">
        <v>720</v>
      </c>
      <c r="B2189" s="562" t="s">
        <v>366</v>
      </c>
      <c r="C2189" s="563">
        <v>0.04</v>
      </c>
      <c r="D2189" s="564">
        <f>D2181*C2189</f>
        <v>260667.08000000002</v>
      </c>
      <c r="E2189" s="565"/>
      <c r="F2189" s="561"/>
    </row>
    <row r="2190" spans="1:6" x14ac:dyDescent="0.2">
      <c r="A2190" s="556" t="s">
        <v>721</v>
      </c>
      <c r="B2190" s="562" t="s">
        <v>368</v>
      </c>
      <c r="C2190" s="563">
        <v>0.06</v>
      </c>
      <c r="D2190" s="564">
        <f>D2181*C2190</f>
        <v>391000.62</v>
      </c>
      <c r="E2190" s="560"/>
      <c r="F2190" s="561"/>
    </row>
    <row r="2191" spans="1:6" x14ac:dyDescent="0.2">
      <c r="A2191" s="556" t="s">
        <v>722</v>
      </c>
      <c r="B2191" s="562" t="s">
        <v>723</v>
      </c>
      <c r="C2191" s="563">
        <v>3.5000000000000003E-2</v>
      </c>
      <c r="D2191" s="564">
        <f>C2191*D2181</f>
        <v>228083.69500000004</v>
      </c>
      <c r="E2191" s="560"/>
      <c r="F2191" s="561" t="s">
        <v>370</v>
      </c>
    </row>
    <row r="2192" spans="1:6" x14ac:dyDescent="0.2">
      <c r="A2192" s="556" t="s">
        <v>724</v>
      </c>
      <c r="B2192" s="562" t="s">
        <v>725</v>
      </c>
      <c r="C2192" s="563">
        <v>4.4999999999999998E-2</v>
      </c>
      <c r="D2192" s="564">
        <f>C2192*D2181</f>
        <v>293250.46499999997</v>
      </c>
      <c r="E2192" s="560"/>
      <c r="F2192" s="561"/>
    </row>
    <row r="2193" spans="1:10" x14ac:dyDescent="0.2">
      <c r="A2193" s="556" t="s">
        <v>726</v>
      </c>
      <c r="B2193" s="562" t="s">
        <v>299</v>
      </c>
      <c r="C2193" s="563">
        <v>0.03</v>
      </c>
      <c r="D2193" s="564">
        <f>C2193*D2181</f>
        <v>195500.31</v>
      </c>
      <c r="E2193" s="560"/>
      <c r="F2193" s="561" t="s">
        <v>727</v>
      </c>
    </row>
    <row r="2194" spans="1:10" x14ac:dyDescent="0.2">
      <c r="A2194" s="556" t="s">
        <v>728</v>
      </c>
      <c r="B2194" s="562" t="s">
        <v>272</v>
      </c>
      <c r="C2194" s="563">
        <v>0.03</v>
      </c>
      <c r="D2194" s="564">
        <f>C2194*D2181</f>
        <v>195500.31</v>
      </c>
      <c r="E2194" s="560"/>
      <c r="F2194" s="561"/>
    </row>
    <row r="2195" spans="1:10" x14ac:dyDescent="0.2">
      <c r="A2195" s="556" t="s">
        <v>729</v>
      </c>
      <c r="B2195" s="562" t="s">
        <v>273</v>
      </c>
      <c r="C2195" s="563">
        <v>0.02</v>
      </c>
      <c r="D2195" s="564">
        <f>C2195*D2181</f>
        <v>130333.54000000001</v>
      </c>
      <c r="E2195" s="565"/>
      <c r="F2195" s="561"/>
    </row>
    <row r="2196" spans="1:10" x14ac:dyDescent="0.2">
      <c r="A2196" s="556" t="s">
        <v>730</v>
      </c>
      <c r="B2196" s="562" t="s">
        <v>261</v>
      </c>
      <c r="C2196" s="563">
        <v>0.03</v>
      </c>
      <c r="D2196" s="564">
        <f>C2196*D2181</f>
        <v>195500.31</v>
      </c>
      <c r="E2196" s="560"/>
      <c r="F2196" s="561" t="s">
        <v>373</v>
      </c>
    </row>
    <row r="2197" spans="1:10" x14ac:dyDescent="0.2">
      <c r="A2197" s="556" t="s">
        <v>731</v>
      </c>
      <c r="B2197" s="562" t="s">
        <v>262</v>
      </c>
      <c r="C2197" s="563">
        <v>2.5000000000000001E-2</v>
      </c>
      <c r="D2197" s="564">
        <f>C2197*D2181</f>
        <v>162916.92500000002</v>
      </c>
      <c r="E2197" s="560"/>
      <c r="F2197" s="561"/>
    </row>
    <row r="2198" spans="1:10" x14ac:dyDescent="0.2">
      <c r="A2198" s="556" t="s">
        <v>732</v>
      </c>
      <c r="B2198" s="562" t="s">
        <v>341</v>
      </c>
      <c r="C2198" s="563">
        <v>0.05</v>
      </c>
      <c r="D2198" s="564">
        <f>C2198*D2181</f>
        <v>325833.85000000003</v>
      </c>
      <c r="E2198" s="565"/>
      <c r="F2198" s="561" t="s">
        <v>733</v>
      </c>
    </row>
    <row r="2199" spans="1:10" x14ac:dyDescent="0.2">
      <c r="A2199" s="556" t="s">
        <v>734</v>
      </c>
      <c r="B2199" s="562" t="s">
        <v>432</v>
      </c>
      <c r="C2199" s="563">
        <v>0.08</v>
      </c>
      <c r="D2199" s="564">
        <f>C2199*D2181</f>
        <v>521334.16000000003</v>
      </c>
      <c r="E2199" s="565"/>
      <c r="F2199" s="561" t="s">
        <v>1063</v>
      </c>
    </row>
    <row r="2200" spans="1:10" ht="30" x14ac:dyDescent="0.2">
      <c r="A2200" s="556" t="s">
        <v>858</v>
      </c>
      <c r="B2200" s="562" t="s">
        <v>100</v>
      </c>
      <c r="C2200" s="563">
        <v>5.5E-2</v>
      </c>
      <c r="D2200" s="564">
        <f>C2200*D2181</f>
        <v>358417.23499999999</v>
      </c>
      <c r="E2200" s="566"/>
      <c r="F2200" s="560"/>
    </row>
    <row r="2201" spans="1:10" x14ac:dyDescent="0.2">
      <c r="A2201" s="525">
        <v>7</v>
      </c>
      <c r="B2201" s="617" t="s">
        <v>859</v>
      </c>
      <c r="C2201" s="527"/>
      <c r="D2201" s="528">
        <f>SUM(D2202:D2202)</f>
        <v>1000000</v>
      </c>
      <c r="E2201" s="529"/>
      <c r="F2201" s="530"/>
    </row>
    <row r="2202" spans="1:10" x14ac:dyDescent="0.2">
      <c r="A2202" s="531" t="s">
        <v>860</v>
      </c>
      <c r="B2202" s="532" t="s">
        <v>1068</v>
      </c>
      <c r="C2202" s="533"/>
      <c r="D2202" s="534">
        <v>1000000</v>
      </c>
      <c r="E2202" s="535"/>
      <c r="F2202" s="536" t="s">
        <v>862</v>
      </c>
    </row>
    <row r="2203" spans="1:10" x14ac:dyDescent="0.2">
      <c r="A2203" s="550"/>
      <c r="B2203" s="567" t="s">
        <v>1048</v>
      </c>
      <c r="C2203" s="568">
        <f>SUM(C2182:C2202)</f>
        <v>0.8550000000000002</v>
      </c>
      <c r="D2203" s="569">
        <f>SUM(D2182:D2198,D2200)+D2199*0.35</f>
        <v>5232891.6310000001</v>
      </c>
      <c r="E2203" s="570"/>
      <c r="F2203" s="554"/>
    </row>
    <row r="2204" spans="1:10" x14ac:dyDescent="0.2">
      <c r="A2204" s="550"/>
      <c r="B2204" s="567" t="s">
        <v>132</v>
      </c>
      <c r="C2204" s="568">
        <v>0.05</v>
      </c>
      <c r="D2204" s="569">
        <f>C2204*D2181</f>
        <v>325833.85000000003</v>
      </c>
      <c r="E2204" s="570"/>
      <c r="F2204" s="554"/>
    </row>
    <row r="2205" spans="1:10" ht="28.5" x14ac:dyDescent="0.2">
      <c r="A2205" s="550"/>
      <c r="B2205" s="567" t="s">
        <v>308</v>
      </c>
      <c r="C2205" s="568">
        <f>D2205/D2158</f>
        <v>0.11901222962255148</v>
      </c>
      <c r="D2205" s="569">
        <f>D2158-D2159-D2160*0.35-SUM(D2166:D2175)-D2176*0.35-D2178*0.35-SUM(D2179:D2180)-D2201-D2203-D2204</f>
        <v>1551128.5189999999</v>
      </c>
      <c r="E2205" s="570"/>
      <c r="F2205" s="554"/>
    </row>
    <row r="2206" spans="1:10" ht="28.5" x14ac:dyDescent="0.2">
      <c r="A2206" s="571"/>
      <c r="B2206" s="572" t="s">
        <v>375</v>
      </c>
      <c r="C2206" s="573">
        <f>D2206/D2158</f>
        <v>0.1440122296225515</v>
      </c>
      <c r="D2206" s="574">
        <f>D2205+D2204</f>
        <v>1876962.3689999999</v>
      </c>
      <c r="E2206" s="575"/>
      <c r="F2206" s="575"/>
    </row>
    <row r="2207" spans="1:10" ht="93.75" customHeight="1" x14ac:dyDescent="0.2">
      <c r="A2207" s="804" t="s">
        <v>1069</v>
      </c>
      <c r="B2207" s="805"/>
      <c r="C2207" s="805"/>
      <c r="D2207" s="805"/>
      <c r="E2207" s="805"/>
      <c r="F2207" s="806"/>
      <c r="G2207" s="250" t="s">
        <v>348</v>
      </c>
      <c r="H2207" s="250" t="s">
        <v>349</v>
      </c>
      <c r="I2207" s="250"/>
      <c r="J2207" s="251" t="s">
        <v>350</v>
      </c>
    </row>
    <row r="2208" spans="1:10" ht="18.75" x14ac:dyDescent="0.2">
      <c r="A2208" s="173">
        <v>1</v>
      </c>
      <c r="B2208" s="254" t="s">
        <v>352</v>
      </c>
      <c r="C2208" s="175"/>
      <c r="D2208" s="798">
        <f>8934010.51+SUM(D2221:D2224)+D2245</f>
        <v>10484010.51</v>
      </c>
      <c r="E2208" s="799"/>
      <c r="F2208" s="800"/>
      <c r="G2208" s="252">
        <v>0.05</v>
      </c>
      <c r="H2208" s="584">
        <f>D2208-D2208*G2208</f>
        <v>9959809.9845000003</v>
      </c>
      <c r="I2208" s="584"/>
      <c r="J2208" s="253">
        <f>H2208-D2209-D2210*0.35-SUM(D2216:D2224)-D2225*0.35-D2227*0.35-SUM(D2228:D2229)-D2244-D2246-D2247</f>
        <v>2139600.1304962514</v>
      </c>
    </row>
    <row r="2209" spans="1:10" ht="18.75" x14ac:dyDescent="0.2">
      <c r="A2209" s="173">
        <v>2</v>
      </c>
      <c r="B2209" s="254" t="s">
        <v>841</v>
      </c>
      <c r="C2209" s="609"/>
      <c r="D2209" s="192">
        <v>100000</v>
      </c>
      <c r="E2209" s="610"/>
      <c r="F2209" s="609"/>
      <c r="G2209" s="252">
        <v>0.1</v>
      </c>
      <c r="H2209" s="584">
        <f>D2208-D2208*G2209</f>
        <v>9435609.4589999989</v>
      </c>
      <c r="I2209" s="584"/>
      <c r="J2209" s="253">
        <f>H2209-D2209-D2210*0.35-SUM(D2216:D2224)-D2225*0.35-D2227*0.35-SUM(D2228:D2229)-D2244-D2246-D2247</f>
        <v>1615399.6049962498</v>
      </c>
    </row>
    <row r="2210" spans="1:10" ht="18.75" x14ac:dyDescent="0.2">
      <c r="A2210" s="493" t="s">
        <v>623</v>
      </c>
      <c r="B2210" s="494" t="s">
        <v>842</v>
      </c>
      <c r="C2210" s="495"/>
      <c r="D2210" s="496">
        <f>SUM(D2211:D2214)</f>
        <v>170000</v>
      </c>
      <c r="E2210" s="496"/>
      <c r="F2210" s="496"/>
      <c r="G2210" s="252">
        <v>0.15</v>
      </c>
      <c r="H2210" s="584">
        <f>D2208-D2208*G2210</f>
        <v>8911408.9334999993</v>
      </c>
      <c r="I2210" s="584"/>
      <c r="J2210" s="253">
        <f>H2210-D2209-D2210*0.35-SUM(D2216:D2224)-D2225*0.35-D2227*0.35-SUM(D2228:D2229)-D2244-D2246-D2247</f>
        <v>1091199.0794962503</v>
      </c>
    </row>
    <row r="2211" spans="1:10" ht="18.75" x14ac:dyDescent="0.2">
      <c r="A2211" s="497" t="s">
        <v>678</v>
      </c>
      <c r="B2211" s="611" t="s">
        <v>688</v>
      </c>
      <c r="C2211" s="611"/>
      <c r="D2211" s="612">
        <v>50000</v>
      </c>
      <c r="E2211" s="501"/>
      <c r="F2211" s="419" t="s">
        <v>1063</v>
      </c>
      <c r="G2211" s="252">
        <v>0.2</v>
      </c>
      <c r="H2211" s="584">
        <f>D2208-D2208*G2211</f>
        <v>8387208.4079999998</v>
      </c>
      <c r="I2211" s="584"/>
      <c r="J2211" s="253">
        <f>H2211-D2209-D2210*0.35-SUM(D2216:D2224)-D2225*0.35-D2227*0.35-SUM(D2228:D2229)-D2244-D2246-D2247</f>
        <v>566998.55399625073</v>
      </c>
    </row>
    <row r="2212" spans="1:10" ht="18.75" x14ac:dyDescent="0.2">
      <c r="A2212" s="497" t="s">
        <v>680</v>
      </c>
      <c r="B2212" s="611" t="s">
        <v>690</v>
      </c>
      <c r="C2212" s="611"/>
      <c r="D2212" s="612">
        <v>70000</v>
      </c>
      <c r="E2212" s="501"/>
      <c r="F2212" s="419" t="s">
        <v>1063</v>
      </c>
      <c r="G2212" s="252">
        <v>0.25</v>
      </c>
      <c r="H2212" s="584">
        <f>D2208-D2208*G2212</f>
        <v>7863007.8825000003</v>
      </c>
      <c r="I2212" s="584"/>
      <c r="J2212" s="253">
        <f>H2212-D2209-D2210*0.35-SUM(D2216:D2224)-D2225*0.35-D2227*0.35-SUM(D2228:D2229)-D2244-D2246-D2247</f>
        <v>42798.028496251209</v>
      </c>
    </row>
    <row r="2213" spans="1:10" x14ac:dyDescent="0.2">
      <c r="A2213" s="497" t="s">
        <v>738</v>
      </c>
      <c r="B2213" s="611" t="s">
        <v>692</v>
      </c>
      <c r="C2213" s="611"/>
      <c r="D2213" s="612">
        <v>50000</v>
      </c>
      <c r="E2213" s="501"/>
      <c r="F2213" s="419" t="s">
        <v>1063</v>
      </c>
    </row>
    <row r="2214" spans="1:10" ht="30" x14ac:dyDescent="0.2">
      <c r="A2214" s="497" t="s">
        <v>684</v>
      </c>
      <c r="B2214" s="611" t="s">
        <v>844</v>
      </c>
      <c r="C2214" s="611"/>
      <c r="D2214" s="612"/>
      <c r="E2214" s="501"/>
      <c r="F2214" s="419" t="s">
        <v>1064</v>
      </c>
    </row>
    <row r="2215" spans="1:10" x14ac:dyDescent="0.2">
      <c r="A2215" s="502" t="s">
        <v>625</v>
      </c>
      <c r="B2215" s="503" t="s">
        <v>846</v>
      </c>
      <c r="C2215" s="504"/>
      <c r="D2215" s="505">
        <f>SUM(D2216:D2225)</f>
        <v>2855000</v>
      </c>
      <c r="E2215" s="506"/>
      <c r="F2215" s="507"/>
    </row>
    <row r="2216" spans="1:10" x14ac:dyDescent="0.2">
      <c r="A2216" s="1009" t="s">
        <v>687</v>
      </c>
      <c r="B2216" s="509" t="s">
        <v>694</v>
      </c>
      <c r="C2216" s="510"/>
      <c r="D2216" s="511">
        <v>350000</v>
      </c>
      <c r="E2216" s="512"/>
      <c r="F2216" s="513" t="s">
        <v>1065</v>
      </c>
    </row>
    <row r="2217" spans="1:10" x14ac:dyDescent="0.2">
      <c r="A2217" s="1010"/>
      <c r="B2217" s="509" t="s">
        <v>696</v>
      </c>
      <c r="C2217" s="510"/>
      <c r="D2217" s="511">
        <v>5000</v>
      </c>
      <c r="E2217" s="512"/>
      <c r="F2217" s="513"/>
    </row>
    <row r="2218" spans="1:10" x14ac:dyDescent="0.2">
      <c r="A2218" s="613" t="s">
        <v>689</v>
      </c>
      <c r="B2218" s="509" t="s">
        <v>561</v>
      </c>
      <c r="C2218" s="510"/>
      <c r="D2218" s="511">
        <v>350000</v>
      </c>
      <c r="E2218" s="512"/>
      <c r="F2218" s="513" t="s">
        <v>717</v>
      </c>
    </row>
    <row r="2219" spans="1:10" ht="30" x14ac:dyDescent="0.2">
      <c r="A2219" s="508" t="s">
        <v>691</v>
      </c>
      <c r="B2219" s="509" t="s">
        <v>850</v>
      </c>
      <c r="C2219" s="510"/>
      <c r="D2219" s="712">
        <v>750000</v>
      </c>
      <c r="E2219" s="512"/>
      <c r="F2219" s="513" t="s">
        <v>1066</v>
      </c>
    </row>
    <row r="2220" spans="1:10" x14ac:dyDescent="0.2">
      <c r="A2220" s="508" t="s">
        <v>702</v>
      </c>
      <c r="B2220" s="509" t="s">
        <v>703</v>
      </c>
      <c r="C2220" s="510"/>
      <c r="D2220" s="712">
        <v>300000</v>
      </c>
      <c r="E2220" s="512"/>
      <c r="F2220" s="513" t="s">
        <v>1067</v>
      </c>
    </row>
    <row r="2221" spans="1:10" x14ac:dyDescent="0.2">
      <c r="A2221" s="508" t="s">
        <v>704</v>
      </c>
      <c r="B2221" s="509" t="s">
        <v>681</v>
      </c>
      <c r="C2221" s="510"/>
      <c r="D2221" s="712">
        <v>100000</v>
      </c>
      <c r="E2221" s="512"/>
      <c r="F2221" s="513"/>
    </row>
    <row r="2222" spans="1:10" x14ac:dyDescent="0.2">
      <c r="A2222" s="508" t="s">
        <v>751</v>
      </c>
      <c r="B2222" s="509" t="s">
        <v>353</v>
      </c>
      <c r="C2222" s="510"/>
      <c r="D2222" s="712">
        <v>400000</v>
      </c>
      <c r="E2222" s="512"/>
      <c r="F2222" s="513"/>
    </row>
    <row r="2223" spans="1:10" x14ac:dyDescent="0.2">
      <c r="A2223" s="508" t="s">
        <v>752</v>
      </c>
      <c r="B2223" s="509" t="s">
        <v>745</v>
      </c>
      <c r="C2223" s="510"/>
      <c r="D2223" s="712">
        <v>200000</v>
      </c>
      <c r="E2223" s="512"/>
      <c r="F2223" s="513"/>
    </row>
    <row r="2224" spans="1:10" x14ac:dyDescent="0.2">
      <c r="A2224" s="508" t="s">
        <v>753</v>
      </c>
      <c r="B2224" s="509" t="s">
        <v>746</v>
      </c>
      <c r="C2224" s="510"/>
      <c r="D2224" s="511">
        <v>150000</v>
      </c>
      <c r="E2224" s="512"/>
      <c r="F2224" s="513"/>
    </row>
    <row r="2225" spans="1:6" x14ac:dyDescent="0.2">
      <c r="A2225" s="508" t="s">
        <v>755</v>
      </c>
      <c r="B2225" s="509" t="s">
        <v>705</v>
      </c>
      <c r="C2225" s="510"/>
      <c r="D2225" s="511">
        <v>250000</v>
      </c>
      <c r="E2225" s="512"/>
      <c r="F2225" s="513" t="s">
        <v>1063</v>
      </c>
    </row>
    <row r="2226" spans="1:6" x14ac:dyDescent="0.2">
      <c r="A2226" s="538" t="s">
        <v>627</v>
      </c>
      <c r="B2226" s="539" t="s">
        <v>706</v>
      </c>
      <c r="C2226" s="540"/>
      <c r="D2226" s="541">
        <f>SUM(D2227:D2229)</f>
        <v>1150000</v>
      </c>
      <c r="E2226" s="542"/>
      <c r="F2226" s="543"/>
    </row>
    <row r="2227" spans="1:6" x14ac:dyDescent="0.2">
      <c r="A2227" s="544" t="s">
        <v>628</v>
      </c>
      <c r="B2227" s="545" t="s">
        <v>707</v>
      </c>
      <c r="C2227" s="546"/>
      <c r="D2227" s="547">
        <v>350000</v>
      </c>
      <c r="E2227" s="548"/>
      <c r="F2227" s="549" t="s">
        <v>1063</v>
      </c>
    </row>
    <row r="2228" spans="1:6" x14ac:dyDescent="0.2">
      <c r="A2228" s="544" t="s">
        <v>629</v>
      </c>
      <c r="B2228" s="545" t="s">
        <v>563</v>
      </c>
      <c r="C2228" s="546"/>
      <c r="D2228" s="547">
        <v>300000</v>
      </c>
      <c r="E2228" s="548"/>
      <c r="F2228" s="549" t="s">
        <v>708</v>
      </c>
    </row>
    <row r="2229" spans="1:6" x14ac:dyDescent="0.2">
      <c r="A2229" s="544" t="s">
        <v>630</v>
      </c>
      <c r="B2229" s="545" t="s">
        <v>564</v>
      </c>
      <c r="C2229" s="546"/>
      <c r="D2229" s="547">
        <v>500000</v>
      </c>
      <c r="E2229" s="548"/>
      <c r="F2229" s="549" t="s">
        <v>124</v>
      </c>
    </row>
    <row r="2230" spans="1:6" ht="29.25" x14ac:dyDescent="0.2">
      <c r="A2230" s="550" t="s">
        <v>655</v>
      </c>
      <c r="B2230" s="551" t="s">
        <v>1041</v>
      </c>
      <c r="C2230" s="552">
        <v>0.5</v>
      </c>
      <c r="D2230" s="553">
        <f>D2208*C2230</f>
        <v>5242005.2549999999</v>
      </c>
      <c r="E2230" s="554"/>
      <c r="F2230" s="555"/>
    </row>
    <row r="2231" spans="1:6" x14ac:dyDescent="0.2">
      <c r="A2231" s="556" t="s">
        <v>709</v>
      </c>
      <c r="B2231" s="557" t="s">
        <v>357</v>
      </c>
      <c r="C2231" s="558">
        <v>0.08</v>
      </c>
      <c r="D2231" s="559">
        <f>C2231*D2230</f>
        <v>419360.4204</v>
      </c>
      <c r="E2231" s="560"/>
      <c r="F2231" s="561"/>
    </row>
    <row r="2232" spans="1:6" ht="30" x14ac:dyDescent="0.2">
      <c r="A2232" s="556" t="s">
        <v>711</v>
      </c>
      <c r="B2232" s="557" t="s">
        <v>712</v>
      </c>
      <c r="C2232" s="558">
        <v>0.06</v>
      </c>
      <c r="D2232" s="559">
        <f>D2230*C2232</f>
        <v>314520.31529999996</v>
      </c>
      <c r="E2232" s="561"/>
      <c r="F2232" s="561"/>
    </row>
    <row r="2233" spans="1:6" x14ac:dyDescent="0.2">
      <c r="A2233" s="556" t="s">
        <v>713</v>
      </c>
      <c r="B2233" s="557" t="s">
        <v>355</v>
      </c>
      <c r="C2233" s="558">
        <v>0.05</v>
      </c>
      <c r="D2233" s="559">
        <f>D2230*C2233</f>
        <v>262100.26274999999</v>
      </c>
      <c r="E2233" s="561"/>
      <c r="F2233" s="561"/>
    </row>
    <row r="2234" spans="1:6" x14ac:dyDescent="0.2">
      <c r="A2234" s="556" t="s">
        <v>715</v>
      </c>
      <c r="B2234" s="557" t="s">
        <v>1070</v>
      </c>
      <c r="C2234" s="558">
        <v>2.5000000000000001E-2</v>
      </c>
      <c r="D2234" s="559">
        <f>C2234*D2230</f>
        <v>131050.131375</v>
      </c>
      <c r="E2234" s="560"/>
      <c r="F2234" s="561" t="s">
        <v>124</v>
      </c>
    </row>
    <row r="2235" spans="1:6" x14ac:dyDescent="0.2">
      <c r="A2235" s="556" t="s">
        <v>716</v>
      </c>
      <c r="B2235" s="557" t="s">
        <v>360</v>
      </c>
      <c r="C2235" s="558">
        <v>0.05</v>
      </c>
      <c r="D2235" s="559">
        <f>D2230*C2235</f>
        <v>262100.26274999999</v>
      </c>
      <c r="E2235" s="560"/>
      <c r="F2235" s="561" t="s">
        <v>717</v>
      </c>
    </row>
    <row r="2236" spans="1:6" x14ac:dyDescent="0.2">
      <c r="A2236" s="556" t="s">
        <v>718</v>
      </c>
      <c r="B2236" s="557" t="s">
        <v>361</v>
      </c>
      <c r="C2236" s="558">
        <v>0.06</v>
      </c>
      <c r="D2236" s="559">
        <f>C2236*D2230</f>
        <v>314520.31529999996</v>
      </c>
      <c r="E2236" s="560"/>
      <c r="F2236" s="561" t="s">
        <v>857</v>
      </c>
    </row>
    <row r="2237" spans="1:6" x14ac:dyDescent="0.2">
      <c r="A2237" s="556" t="s">
        <v>719</v>
      </c>
      <c r="B2237" s="557" t="s">
        <v>1071</v>
      </c>
      <c r="C2237" s="558">
        <v>0.03</v>
      </c>
      <c r="D2237" s="559">
        <f>C2237*D2230</f>
        <v>157260.15764999998</v>
      </c>
      <c r="E2237" s="560"/>
      <c r="F2237" s="561"/>
    </row>
    <row r="2238" spans="1:6" x14ac:dyDescent="0.2">
      <c r="A2238" s="556" t="s">
        <v>720</v>
      </c>
      <c r="B2238" s="562" t="s">
        <v>723</v>
      </c>
      <c r="C2238" s="563">
        <v>3.5000000000000003E-2</v>
      </c>
      <c r="D2238" s="564">
        <f>C2238*D2230</f>
        <v>183470.18392500002</v>
      </c>
      <c r="E2238" s="560"/>
      <c r="F2238" s="561" t="s">
        <v>370</v>
      </c>
    </row>
    <row r="2239" spans="1:6" x14ac:dyDescent="0.2">
      <c r="A2239" s="556" t="s">
        <v>721</v>
      </c>
      <c r="B2239" s="562" t="s">
        <v>299</v>
      </c>
      <c r="C2239" s="563">
        <v>0.03</v>
      </c>
      <c r="D2239" s="564">
        <f>C2239*D2230</f>
        <v>157260.15764999998</v>
      </c>
      <c r="E2239" s="560"/>
      <c r="F2239" s="561" t="s">
        <v>1072</v>
      </c>
    </row>
    <row r="2240" spans="1:6" x14ac:dyDescent="0.2">
      <c r="A2240" s="556" t="s">
        <v>722</v>
      </c>
      <c r="B2240" s="562" t="s">
        <v>272</v>
      </c>
      <c r="C2240" s="563">
        <v>0.03</v>
      </c>
      <c r="D2240" s="564">
        <f>C2240*D2230</f>
        <v>157260.15764999998</v>
      </c>
      <c r="E2240" s="560"/>
      <c r="F2240" s="561"/>
    </row>
    <row r="2241" spans="1:10" x14ac:dyDescent="0.2">
      <c r="A2241" s="556" t="s">
        <v>724</v>
      </c>
      <c r="B2241" s="562" t="s">
        <v>341</v>
      </c>
      <c r="C2241" s="563">
        <v>0.05</v>
      </c>
      <c r="D2241" s="564">
        <f>C2241*D2230</f>
        <v>262100.26274999999</v>
      </c>
      <c r="E2241" s="565"/>
      <c r="F2241" s="561" t="s">
        <v>733</v>
      </c>
    </row>
    <row r="2242" spans="1:10" x14ac:dyDescent="0.2">
      <c r="A2242" s="556" t="s">
        <v>726</v>
      </c>
      <c r="B2242" s="562" t="s">
        <v>432</v>
      </c>
      <c r="C2242" s="563">
        <v>9.5000000000000001E-2</v>
      </c>
      <c r="D2242" s="564">
        <f>C2242*D2230</f>
        <v>497990.49922499998</v>
      </c>
      <c r="E2242" s="565"/>
      <c r="F2242" s="561" t="s">
        <v>1063</v>
      </c>
    </row>
    <row r="2243" spans="1:10" ht="30" x14ac:dyDescent="0.2">
      <c r="A2243" s="556" t="s">
        <v>728</v>
      </c>
      <c r="B2243" s="562" t="s">
        <v>100</v>
      </c>
      <c r="C2243" s="563">
        <v>5.5E-2</v>
      </c>
      <c r="D2243" s="564">
        <f>C2243*D2230</f>
        <v>288310.28902500001</v>
      </c>
      <c r="E2243" s="566"/>
      <c r="F2243" s="560"/>
    </row>
    <row r="2244" spans="1:10" x14ac:dyDescent="0.2">
      <c r="A2244" s="525">
        <v>7</v>
      </c>
      <c r="B2244" s="617" t="s">
        <v>859</v>
      </c>
      <c r="C2244" s="527"/>
      <c r="D2244" s="528">
        <f>SUM(D2245:D2245)</f>
        <v>700000</v>
      </c>
      <c r="E2244" s="529"/>
      <c r="F2244" s="530"/>
    </row>
    <row r="2245" spans="1:10" x14ac:dyDescent="0.2">
      <c r="A2245" s="531" t="s">
        <v>860</v>
      </c>
      <c r="B2245" s="532" t="s">
        <v>1068</v>
      </c>
      <c r="C2245" s="533"/>
      <c r="D2245" s="534">
        <v>700000</v>
      </c>
      <c r="E2245" s="535"/>
      <c r="F2245" s="536" t="s">
        <v>862</v>
      </c>
    </row>
    <row r="2246" spans="1:10" x14ac:dyDescent="0.2">
      <c r="A2246" s="550"/>
      <c r="B2246" s="567" t="s">
        <v>1048</v>
      </c>
      <c r="C2246" s="568">
        <f>SUM(C2231:C2245)</f>
        <v>0.65000000000000013</v>
      </c>
      <c r="D2246" s="569">
        <f>SUM(D2231:D2241,D2243)+D2242*0.35</f>
        <v>3083609.5912537491</v>
      </c>
      <c r="E2246" s="570"/>
      <c r="F2246" s="554"/>
    </row>
    <row r="2247" spans="1:10" x14ac:dyDescent="0.2">
      <c r="A2247" s="550"/>
      <c r="B2247" s="567" t="s">
        <v>132</v>
      </c>
      <c r="C2247" s="568">
        <v>0.05</v>
      </c>
      <c r="D2247" s="569">
        <f>C2247*D2230</f>
        <v>262100.26274999999</v>
      </c>
      <c r="E2247" s="570"/>
      <c r="F2247" s="554"/>
    </row>
    <row r="2248" spans="1:10" ht="28.5" x14ac:dyDescent="0.2">
      <c r="A2248" s="550"/>
      <c r="B2248" s="567" t="s">
        <v>308</v>
      </c>
      <c r="C2248" s="568">
        <f>D2248/D2208</f>
        <v>0.25408221915224416</v>
      </c>
      <c r="D2248" s="569">
        <f>D2208-D2209-D2210*0.35-SUM(D2216:D2224)-D2225*0.35-D2227*0.35-SUM(D2228:D2229)-D2244-D2246-D2247</f>
        <v>2663800.6559962509</v>
      </c>
      <c r="E2248" s="570"/>
      <c r="F2248" s="554"/>
    </row>
    <row r="2249" spans="1:10" ht="28.5" x14ac:dyDescent="0.2">
      <c r="A2249" s="571"/>
      <c r="B2249" s="572" t="s">
        <v>375</v>
      </c>
      <c r="C2249" s="573">
        <f>D2249/D2208</f>
        <v>0.27908221915224413</v>
      </c>
      <c r="D2249" s="574">
        <f>D2248+D2247</f>
        <v>2925900.9187462507</v>
      </c>
      <c r="E2249" s="575"/>
      <c r="F2249" s="575"/>
    </row>
    <row r="2250" spans="1:10" ht="99.75" customHeight="1" x14ac:dyDescent="0.2">
      <c r="A2250" s="804" t="s">
        <v>1073</v>
      </c>
      <c r="B2250" s="805"/>
      <c r="C2250" s="805"/>
      <c r="D2250" s="805"/>
      <c r="E2250" s="805"/>
      <c r="F2250" s="806"/>
      <c r="G2250" s="250" t="s">
        <v>348</v>
      </c>
      <c r="H2250" s="250" t="s">
        <v>349</v>
      </c>
      <c r="I2250" s="250"/>
      <c r="J2250" s="251" t="s">
        <v>350</v>
      </c>
    </row>
    <row r="2251" spans="1:10" ht="18.75" x14ac:dyDescent="0.2">
      <c r="A2251" s="173">
        <v>1</v>
      </c>
      <c r="B2251" s="254" t="s">
        <v>352</v>
      </c>
      <c r="C2251" s="175"/>
      <c r="D2251" s="798">
        <f>8934010.51+SUM(D2265:D2268)+D2296</f>
        <v>10634010.51</v>
      </c>
      <c r="E2251" s="799"/>
      <c r="F2251" s="800"/>
      <c r="G2251" s="252">
        <v>0.05</v>
      </c>
      <c r="H2251" s="584">
        <f>D2251-D2251*G2251</f>
        <v>10102309.9845</v>
      </c>
      <c r="I2251" s="584"/>
      <c r="J2251" s="253">
        <f>H2251-D2252-D2253*0.35-SUM(D2259:D2268)-D2269*0.35-D2271*0.35-SUM(D2272:D2273)-D2296-D2297</f>
        <v>607170.43459625077</v>
      </c>
    </row>
    <row r="2252" spans="1:10" ht="18.75" x14ac:dyDescent="0.2">
      <c r="A2252" s="173">
        <v>2</v>
      </c>
      <c r="B2252" s="254" t="s">
        <v>841</v>
      </c>
      <c r="C2252" s="609"/>
      <c r="D2252" s="192">
        <v>100000</v>
      </c>
      <c r="E2252" s="610"/>
      <c r="F2252" s="609"/>
      <c r="G2252" s="252">
        <v>0.1</v>
      </c>
      <c r="H2252" s="584">
        <f>D2251-D2251*G2252</f>
        <v>9570609.4589999989</v>
      </c>
      <c r="I2252" s="584"/>
      <c r="J2252" s="253">
        <f>H2252-D2252-D2253*0.35-SUM(D2259:D2268)-D2269*0.35-D2271*0.35-SUM(D2272:D2273)-D2296-D2297</f>
        <v>75469.909096249379</v>
      </c>
    </row>
    <row r="2253" spans="1:10" ht="18.75" x14ac:dyDescent="0.2">
      <c r="A2253" s="493" t="s">
        <v>623</v>
      </c>
      <c r="B2253" s="494" t="s">
        <v>842</v>
      </c>
      <c r="C2253" s="495"/>
      <c r="D2253" s="496">
        <f>SUM(D2254:D2257)</f>
        <v>170000</v>
      </c>
      <c r="E2253" s="496"/>
      <c r="F2253" s="496"/>
      <c r="G2253" s="252">
        <v>0.15</v>
      </c>
      <c r="H2253" s="584">
        <f>D2251-D2251*G2253</f>
        <v>9038908.9334999993</v>
      </c>
      <c r="I2253" s="584"/>
      <c r="J2253" s="253">
        <f>H2253-D2252-D2253*0.35-SUM(D2259:D2268)-D2269*0.35-D2271*0.35-SUM(D2272:D2273)-D2296-D2297</f>
        <v>-456230.61640375014</v>
      </c>
    </row>
    <row r="2254" spans="1:10" ht="18.75" x14ac:dyDescent="0.2">
      <c r="A2254" s="497" t="s">
        <v>678</v>
      </c>
      <c r="B2254" s="611" t="s">
        <v>688</v>
      </c>
      <c r="C2254" s="611"/>
      <c r="D2254" s="612">
        <v>50000</v>
      </c>
      <c r="E2254" s="501"/>
      <c r="F2254" s="419" t="s">
        <v>1063</v>
      </c>
      <c r="G2254" s="252">
        <v>0.2</v>
      </c>
      <c r="H2254" s="584">
        <f>D2251-D2251*G2254</f>
        <v>8507208.4079999998</v>
      </c>
      <c r="I2254" s="584"/>
      <c r="J2254" s="253">
        <f>H2254-D2252-D2253*0.35-SUM(D2259:D2268)-D2269*0.35-D2271*0.35-SUM(D2272:D2273)-D2296-D2297</f>
        <v>-987931.14190374967</v>
      </c>
    </row>
    <row r="2255" spans="1:10" ht="18.75" x14ac:dyDescent="0.2">
      <c r="A2255" s="497" t="s">
        <v>680</v>
      </c>
      <c r="B2255" s="611" t="s">
        <v>690</v>
      </c>
      <c r="C2255" s="611"/>
      <c r="D2255" s="612">
        <v>70000</v>
      </c>
      <c r="E2255" s="501"/>
      <c r="F2255" s="419" t="s">
        <v>1063</v>
      </c>
      <c r="G2255" s="252">
        <v>0.25</v>
      </c>
      <c r="H2255" s="584">
        <f>D2251-D2251*G2255</f>
        <v>7975507.8825000003</v>
      </c>
      <c r="I2255" s="584"/>
      <c r="J2255" s="253">
        <f>H2255-D2252-D2253*0.35-SUM(D2259:D2268)-D2269*0.35-D2271*0.35-SUM(D2272:D2273)-D2296-D2297</f>
        <v>-1519631.6674037492</v>
      </c>
    </row>
    <row r="2256" spans="1:10" x14ac:dyDescent="0.2">
      <c r="A2256" s="497" t="s">
        <v>738</v>
      </c>
      <c r="B2256" s="611" t="s">
        <v>692</v>
      </c>
      <c r="C2256" s="611"/>
      <c r="D2256" s="612">
        <v>50000</v>
      </c>
      <c r="E2256" s="501"/>
      <c r="F2256" s="419" t="s">
        <v>1063</v>
      </c>
    </row>
    <row r="2257" spans="1:6" ht="30" x14ac:dyDescent="0.2">
      <c r="A2257" s="497" t="s">
        <v>684</v>
      </c>
      <c r="B2257" s="611" t="s">
        <v>844</v>
      </c>
      <c r="C2257" s="611"/>
      <c r="D2257" s="612"/>
      <c r="E2257" s="501"/>
      <c r="F2257" s="419" t="s">
        <v>1064</v>
      </c>
    </row>
    <row r="2258" spans="1:6" x14ac:dyDescent="0.2">
      <c r="A2258" s="502" t="s">
        <v>625</v>
      </c>
      <c r="B2258" s="503" t="s">
        <v>846</v>
      </c>
      <c r="C2258" s="504"/>
      <c r="D2258" s="505">
        <f>SUM(D2259:D2270)</f>
        <v>3915000</v>
      </c>
      <c r="E2258" s="506"/>
      <c r="F2258" s="507"/>
    </row>
    <row r="2259" spans="1:6" x14ac:dyDescent="0.2">
      <c r="A2259" s="1009" t="s">
        <v>687</v>
      </c>
      <c r="B2259" s="509" t="s">
        <v>694</v>
      </c>
      <c r="C2259" s="510"/>
      <c r="D2259" s="511">
        <v>350000</v>
      </c>
      <c r="E2259" s="512"/>
      <c r="F2259" s="513" t="s">
        <v>1065</v>
      </c>
    </row>
    <row r="2260" spans="1:6" x14ac:dyDescent="0.2">
      <c r="A2260" s="1010"/>
      <c r="B2260" s="509" t="s">
        <v>696</v>
      </c>
      <c r="C2260" s="510"/>
      <c r="D2260" s="511">
        <v>5000</v>
      </c>
      <c r="E2260" s="512"/>
      <c r="F2260" s="513"/>
    </row>
    <row r="2261" spans="1:6" x14ac:dyDescent="0.2">
      <c r="A2261" s="1009" t="s">
        <v>689</v>
      </c>
      <c r="B2261" s="509" t="s">
        <v>561</v>
      </c>
      <c r="C2261" s="510"/>
      <c r="D2261" s="511">
        <v>250000</v>
      </c>
      <c r="E2261" s="512"/>
      <c r="F2261" s="513" t="s">
        <v>717</v>
      </c>
    </row>
    <row r="2262" spans="1:6" x14ac:dyDescent="0.2">
      <c r="A2262" s="1010"/>
      <c r="B2262" s="509" t="s">
        <v>697</v>
      </c>
      <c r="C2262" s="510"/>
      <c r="D2262" s="712">
        <v>150000</v>
      </c>
      <c r="E2262" s="512"/>
      <c r="F2262" s="513" t="s">
        <v>698</v>
      </c>
    </row>
    <row r="2263" spans="1:6" ht="30" x14ac:dyDescent="0.2">
      <c r="A2263" s="508" t="s">
        <v>691</v>
      </c>
      <c r="B2263" s="509" t="s">
        <v>850</v>
      </c>
      <c r="C2263" s="510"/>
      <c r="D2263" s="712">
        <v>800000</v>
      </c>
      <c r="E2263" s="512"/>
      <c r="F2263" s="513" t="s">
        <v>1066</v>
      </c>
    </row>
    <row r="2264" spans="1:6" x14ac:dyDescent="0.2">
      <c r="A2264" s="508" t="s">
        <v>702</v>
      </c>
      <c r="B2264" s="509" t="s">
        <v>703</v>
      </c>
      <c r="C2264" s="510"/>
      <c r="D2264" s="712">
        <v>400000</v>
      </c>
      <c r="E2264" s="512"/>
      <c r="F2264" s="513" t="s">
        <v>1067</v>
      </c>
    </row>
    <row r="2265" spans="1:6" x14ac:dyDescent="0.2">
      <c r="A2265" s="508" t="s">
        <v>704</v>
      </c>
      <c r="B2265" s="509" t="s">
        <v>681</v>
      </c>
      <c r="C2265" s="510"/>
      <c r="D2265" s="712">
        <v>100000</v>
      </c>
      <c r="E2265" s="512">
        <f>SUM(D2265:D2268)</f>
        <v>900000</v>
      </c>
      <c r="F2265" s="513"/>
    </row>
    <row r="2266" spans="1:6" x14ac:dyDescent="0.2">
      <c r="A2266" s="508" t="s">
        <v>751</v>
      </c>
      <c r="B2266" s="509" t="s">
        <v>353</v>
      </c>
      <c r="C2266" s="510"/>
      <c r="D2266" s="712">
        <v>450000</v>
      </c>
      <c r="E2266" s="512"/>
      <c r="F2266" s="513"/>
    </row>
    <row r="2267" spans="1:6" x14ac:dyDescent="0.2">
      <c r="A2267" s="508" t="s">
        <v>752</v>
      </c>
      <c r="B2267" s="509" t="s">
        <v>745</v>
      </c>
      <c r="C2267" s="510"/>
      <c r="D2267" s="712">
        <v>200000</v>
      </c>
      <c r="E2267" s="512"/>
      <c r="F2267" s="513"/>
    </row>
    <row r="2268" spans="1:6" x14ac:dyDescent="0.2">
      <c r="A2268" s="508" t="s">
        <v>753</v>
      </c>
      <c r="B2268" s="509" t="s">
        <v>746</v>
      </c>
      <c r="C2268" s="510"/>
      <c r="D2268" s="511">
        <v>150000</v>
      </c>
      <c r="E2268" s="512"/>
      <c r="F2268" s="513"/>
    </row>
    <row r="2269" spans="1:6" x14ac:dyDescent="0.2">
      <c r="A2269" s="508" t="s">
        <v>755</v>
      </c>
      <c r="B2269" s="509" t="s">
        <v>1074</v>
      </c>
      <c r="C2269" s="510"/>
      <c r="D2269" s="511">
        <v>700000</v>
      </c>
      <c r="E2269" s="512"/>
      <c r="F2269" s="513"/>
    </row>
    <row r="2270" spans="1:6" x14ac:dyDescent="0.2">
      <c r="A2270" s="508" t="s">
        <v>756</v>
      </c>
      <c r="B2270" s="509" t="s">
        <v>705</v>
      </c>
      <c r="C2270" s="510"/>
      <c r="D2270" s="511">
        <v>360000</v>
      </c>
      <c r="E2270" s="512"/>
      <c r="F2270" s="513" t="s">
        <v>1063</v>
      </c>
    </row>
    <row r="2271" spans="1:6" x14ac:dyDescent="0.2">
      <c r="A2271" s="538" t="s">
        <v>627</v>
      </c>
      <c r="B2271" s="539" t="s">
        <v>706</v>
      </c>
      <c r="C2271" s="540"/>
      <c r="D2271" s="541">
        <f>SUM(D2272:D2274)</f>
        <v>1100000</v>
      </c>
      <c r="E2271" s="542"/>
      <c r="F2271" s="543"/>
    </row>
    <row r="2272" spans="1:6" x14ac:dyDescent="0.2">
      <c r="A2272" s="544" t="s">
        <v>628</v>
      </c>
      <c r="B2272" s="545" t="s">
        <v>707</v>
      </c>
      <c r="C2272" s="546"/>
      <c r="D2272" s="547">
        <v>350000</v>
      </c>
      <c r="E2272" s="548"/>
      <c r="F2272" s="549" t="s">
        <v>1063</v>
      </c>
    </row>
    <row r="2273" spans="1:6" x14ac:dyDescent="0.2">
      <c r="A2273" s="544" t="s">
        <v>629</v>
      </c>
      <c r="B2273" s="545" t="s">
        <v>563</v>
      </c>
      <c r="C2273" s="546"/>
      <c r="D2273" s="547">
        <v>350000</v>
      </c>
      <c r="E2273" s="548"/>
      <c r="F2273" s="549" t="s">
        <v>708</v>
      </c>
    </row>
    <row r="2274" spans="1:6" x14ac:dyDescent="0.2">
      <c r="A2274" s="544" t="s">
        <v>630</v>
      </c>
      <c r="B2274" s="545" t="s">
        <v>564</v>
      </c>
      <c r="C2274" s="546"/>
      <c r="D2274" s="547">
        <v>400000</v>
      </c>
      <c r="E2274" s="548"/>
      <c r="F2274" s="549" t="s">
        <v>124</v>
      </c>
    </row>
    <row r="2275" spans="1:6" ht="29.25" x14ac:dyDescent="0.2">
      <c r="A2275" s="550" t="s">
        <v>655</v>
      </c>
      <c r="B2275" s="551" t="s">
        <v>1041</v>
      </c>
      <c r="C2275" s="552">
        <v>0.5</v>
      </c>
      <c r="D2275" s="553">
        <f>D2251*C2275</f>
        <v>5317005.2549999999</v>
      </c>
      <c r="E2275" s="554"/>
      <c r="F2275" s="555"/>
    </row>
    <row r="2276" spans="1:6" x14ac:dyDescent="0.2">
      <c r="A2276" s="556" t="s">
        <v>709</v>
      </c>
      <c r="B2276" s="557" t="s">
        <v>357</v>
      </c>
      <c r="C2276" s="558">
        <v>0.08</v>
      </c>
      <c r="D2276" s="559">
        <f>C2276*D2275</f>
        <v>425360.4204</v>
      </c>
      <c r="E2276" s="560"/>
      <c r="F2276" s="561"/>
    </row>
    <row r="2277" spans="1:6" ht="30" x14ac:dyDescent="0.2">
      <c r="A2277" s="556" t="s">
        <v>711</v>
      </c>
      <c r="B2277" s="557" t="s">
        <v>712</v>
      </c>
      <c r="C2277" s="558">
        <v>0.06</v>
      </c>
      <c r="D2277" s="559">
        <f>D2275*C2277</f>
        <v>319020.31529999996</v>
      </c>
      <c r="E2277" s="561"/>
      <c r="F2277" s="561"/>
    </row>
    <row r="2278" spans="1:6" x14ac:dyDescent="0.2">
      <c r="A2278" s="556" t="s">
        <v>713</v>
      </c>
      <c r="B2278" s="557" t="s">
        <v>355</v>
      </c>
      <c r="C2278" s="558">
        <v>0.05</v>
      </c>
      <c r="D2278" s="559">
        <f>D2275*C2278</f>
        <v>265850.26274999999</v>
      </c>
      <c r="E2278" s="561"/>
      <c r="F2278" s="561"/>
    </row>
    <row r="2279" spans="1:6" x14ac:dyDescent="0.2">
      <c r="A2279" s="556" t="s">
        <v>715</v>
      </c>
      <c r="B2279" s="557" t="s">
        <v>290</v>
      </c>
      <c r="C2279" s="558">
        <v>0.03</v>
      </c>
      <c r="D2279" s="559">
        <f>C2279*D2275</f>
        <v>159510.15764999998</v>
      </c>
      <c r="E2279" s="560"/>
      <c r="F2279" s="561" t="s">
        <v>124</v>
      </c>
    </row>
    <row r="2280" spans="1:6" x14ac:dyDescent="0.2">
      <c r="A2280" s="556" t="s">
        <v>716</v>
      </c>
      <c r="B2280" s="557" t="s">
        <v>360</v>
      </c>
      <c r="C2280" s="558">
        <v>0.05</v>
      </c>
      <c r="D2280" s="559">
        <f>D2275*C2280</f>
        <v>265850.26274999999</v>
      </c>
      <c r="E2280" s="560"/>
      <c r="F2280" s="561" t="s">
        <v>717</v>
      </c>
    </row>
    <row r="2281" spans="1:6" x14ac:dyDescent="0.2">
      <c r="A2281" s="556" t="s">
        <v>718</v>
      </c>
      <c r="B2281" s="557" t="s">
        <v>361</v>
      </c>
      <c r="C2281" s="558">
        <v>0.06</v>
      </c>
      <c r="D2281" s="559">
        <f>C2281*D2275</f>
        <v>319020.31529999996</v>
      </c>
      <c r="E2281" s="560"/>
      <c r="F2281" s="561" t="s">
        <v>857</v>
      </c>
    </row>
    <row r="2282" spans="1:6" x14ac:dyDescent="0.2">
      <c r="A2282" s="556" t="s">
        <v>719</v>
      </c>
      <c r="B2282" s="557" t="s">
        <v>364</v>
      </c>
      <c r="C2282" s="558">
        <v>3.5000000000000003E-2</v>
      </c>
      <c r="D2282" s="559">
        <f>C2282*D2275</f>
        <v>186095.18392500002</v>
      </c>
      <c r="E2282" s="560"/>
      <c r="F2282" s="561"/>
    </row>
    <row r="2283" spans="1:6" x14ac:dyDescent="0.2">
      <c r="A2283" s="556" t="s">
        <v>720</v>
      </c>
      <c r="B2283" s="562" t="s">
        <v>366</v>
      </c>
      <c r="C2283" s="563">
        <v>0.04</v>
      </c>
      <c r="D2283" s="564">
        <f>D2275*C2283</f>
        <v>212680.2102</v>
      </c>
      <c r="E2283" s="565"/>
      <c r="F2283" s="561"/>
    </row>
    <row r="2284" spans="1:6" x14ac:dyDescent="0.2">
      <c r="A2284" s="556" t="s">
        <v>721</v>
      </c>
      <c r="B2284" s="562" t="s">
        <v>368</v>
      </c>
      <c r="C2284" s="563">
        <v>0.05</v>
      </c>
      <c r="D2284" s="564">
        <f>D2275*C2284</f>
        <v>265850.26274999999</v>
      </c>
      <c r="E2284" s="560"/>
      <c r="F2284" s="561"/>
    </row>
    <row r="2285" spans="1:6" x14ac:dyDescent="0.2">
      <c r="A2285" s="556" t="s">
        <v>722</v>
      </c>
      <c r="B2285" s="562" t="s">
        <v>723</v>
      </c>
      <c r="C2285" s="563">
        <v>3.5000000000000003E-2</v>
      </c>
      <c r="D2285" s="564">
        <f>C2285*D2275</f>
        <v>186095.18392500002</v>
      </c>
      <c r="E2285" s="560"/>
      <c r="F2285" s="561" t="s">
        <v>370</v>
      </c>
    </row>
    <row r="2286" spans="1:6" x14ac:dyDescent="0.2">
      <c r="A2286" s="556" t="s">
        <v>724</v>
      </c>
      <c r="B2286" s="562" t="s">
        <v>725</v>
      </c>
      <c r="C2286" s="563">
        <v>4.4999999999999998E-2</v>
      </c>
      <c r="D2286" s="564">
        <f>C2286*D2275</f>
        <v>239265.23647499998</v>
      </c>
      <c r="E2286" s="560"/>
      <c r="F2286" s="561"/>
    </row>
    <row r="2287" spans="1:6" x14ac:dyDescent="0.2">
      <c r="A2287" s="556" t="s">
        <v>726</v>
      </c>
      <c r="B2287" s="562" t="s">
        <v>299</v>
      </c>
      <c r="C2287" s="563">
        <v>3.5000000000000003E-2</v>
      </c>
      <c r="D2287" s="564">
        <f>C2287*D2275</f>
        <v>186095.18392500002</v>
      </c>
      <c r="E2287" s="560"/>
      <c r="F2287" s="561" t="s">
        <v>727</v>
      </c>
    </row>
    <row r="2288" spans="1:6" x14ac:dyDescent="0.2">
      <c r="A2288" s="556" t="s">
        <v>728</v>
      </c>
      <c r="B2288" s="562" t="s">
        <v>272</v>
      </c>
      <c r="C2288" s="563">
        <v>0.03</v>
      </c>
      <c r="D2288" s="564">
        <f>C2288*D2275</f>
        <v>159510.15764999998</v>
      </c>
      <c r="E2288" s="560"/>
      <c r="F2288" s="561"/>
    </row>
    <row r="2289" spans="1:10" x14ac:dyDescent="0.2">
      <c r="A2289" s="556" t="s">
        <v>729</v>
      </c>
      <c r="B2289" s="562" t="s">
        <v>273</v>
      </c>
      <c r="C2289" s="563">
        <v>2.5000000000000001E-2</v>
      </c>
      <c r="D2289" s="564">
        <f>C2289*D2275</f>
        <v>132925.131375</v>
      </c>
      <c r="E2289" s="565"/>
      <c r="F2289" s="561"/>
      <c r="H2289" s="184">
        <f>G2299*181924.16</f>
        <v>199031.92567588703</v>
      </c>
    </row>
    <row r="2290" spans="1:10" x14ac:dyDescent="0.2">
      <c r="A2290" s="556" t="s">
        <v>730</v>
      </c>
      <c r="B2290" s="562" t="s">
        <v>261</v>
      </c>
      <c r="C2290" s="563">
        <v>0.03</v>
      </c>
      <c r="D2290" s="564">
        <f>C2290*D2275</f>
        <v>159510.15764999998</v>
      </c>
      <c r="E2290" s="560"/>
      <c r="F2290" s="561" t="s">
        <v>373</v>
      </c>
      <c r="H2290" s="184">
        <f>2026087.95*G2299</f>
        <v>2216617.0028060609</v>
      </c>
    </row>
    <row r="2291" spans="1:10" x14ac:dyDescent="0.2">
      <c r="A2291" s="556" t="s">
        <v>731</v>
      </c>
      <c r="B2291" s="562" t="s">
        <v>262</v>
      </c>
      <c r="C2291" s="563">
        <v>2.5000000000000001E-2</v>
      </c>
      <c r="D2291" s="564">
        <f>C2291*D2275</f>
        <v>132925.131375</v>
      </c>
      <c r="E2291" s="560"/>
      <c r="F2291" s="561"/>
      <c r="H2291" s="184">
        <f>G2299*1143728.27</f>
        <v>1251282.0728596512</v>
      </c>
    </row>
    <row r="2292" spans="1:10" x14ac:dyDescent="0.2">
      <c r="A2292" s="556" t="s">
        <v>732</v>
      </c>
      <c r="B2292" s="562" t="s">
        <v>341</v>
      </c>
      <c r="C2292" s="563">
        <v>0.05</v>
      </c>
      <c r="D2292" s="564">
        <f>C2292*D2275</f>
        <v>265850.26274999999</v>
      </c>
      <c r="E2292" s="565"/>
      <c r="F2292" s="561" t="s">
        <v>733</v>
      </c>
    </row>
    <row r="2293" spans="1:10" x14ac:dyDescent="0.2">
      <c r="A2293" s="556" t="s">
        <v>734</v>
      </c>
      <c r="B2293" s="562" t="s">
        <v>432</v>
      </c>
      <c r="C2293" s="563">
        <v>9.5000000000000001E-2</v>
      </c>
      <c r="D2293" s="564">
        <f>C2293*D2275</f>
        <v>505115.49922499998</v>
      </c>
      <c r="E2293" s="565"/>
      <c r="F2293" s="561" t="s">
        <v>1063</v>
      </c>
    </row>
    <row r="2294" spans="1:10" ht="30" x14ac:dyDescent="0.2">
      <c r="A2294" s="556" t="s">
        <v>858</v>
      </c>
      <c r="B2294" s="562" t="s">
        <v>100</v>
      </c>
      <c r="C2294" s="563">
        <v>5.5E-2</v>
      </c>
      <c r="D2294" s="564">
        <f>C2294*D2275</f>
        <v>292435.28902500001</v>
      </c>
      <c r="E2294" s="566"/>
      <c r="F2294" s="560"/>
      <c r="H2294" s="184">
        <f>G2299*1394882.79</f>
        <v>1526054.6360959089</v>
      </c>
    </row>
    <row r="2295" spans="1:10" x14ac:dyDescent="0.2">
      <c r="A2295" s="525">
        <v>7</v>
      </c>
      <c r="B2295" s="617" t="s">
        <v>859</v>
      </c>
      <c r="C2295" s="527"/>
      <c r="D2295" s="528">
        <f>SUM(D2296:D2296)</f>
        <v>800000</v>
      </c>
      <c r="E2295" s="529"/>
      <c r="F2295" s="530"/>
    </row>
    <row r="2296" spans="1:10" x14ac:dyDescent="0.2">
      <c r="A2296" s="531" t="s">
        <v>860</v>
      </c>
      <c r="B2296" s="532" t="s">
        <v>1068</v>
      </c>
      <c r="C2296" s="533"/>
      <c r="D2296" s="534">
        <v>800000</v>
      </c>
      <c r="E2296" s="535"/>
      <c r="F2296" s="536" t="s">
        <v>862</v>
      </c>
    </row>
    <row r="2297" spans="1:10" x14ac:dyDescent="0.2">
      <c r="A2297" s="550"/>
      <c r="B2297" s="567" t="s">
        <v>1048</v>
      </c>
      <c r="C2297" s="568">
        <f>SUM(C2276:C2296)</f>
        <v>0.88000000000000023</v>
      </c>
      <c r="D2297" s="569">
        <f>SUM(D2276:D2292,D2294)+0.35*D2293</f>
        <v>4350639.5499037495</v>
      </c>
      <c r="E2297" s="570"/>
      <c r="F2297" s="554"/>
    </row>
    <row r="2298" spans="1:10" x14ac:dyDescent="0.2">
      <c r="A2298" s="550"/>
      <c r="B2298" s="567" t="s">
        <v>132</v>
      </c>
      <c r="C2298" s="568">
        <v>0.05</v>
      </c>
      <c r="D2298" s="569">
        <f>C2298*D2275</f>
        <v>265850.26274999999</v>
      </c>
      <c r="E2298" s="570"/>
      <c r="F2298" s="554"/>
    </row>
    <row r="2299" spans="1:10" ht="28.5" x14ac:dyDescent="0.2">
      <c r="A2299" s="550"/>
      <c r="B2299" s="567" t="s">
        <v>308</v>
      </c>
      <c r="C2299" s="568">
        <f>D2299/D2251</f>
        <v>0.11327059496636235</v>
      </c>
      <c r="D2299" s="569">
        <f>D2251-D2252-D2253*0.35-SUM(D2259:D2268)-D2270*0.35-D2272*0.35-SUM(D2273:D2274)-D2295-D2297-D2298</f>
        <v>1204520.6973462503</v>
      </c>
      <c r="E2299" s="570"/>
      <c r="F2299" s="554"/>
      <c r="G2299" s="180">
        <f>D2302/D2251</f>
        <v>1.094037898407155</v>
      </c>
    </row>
    <row r="2300" spans="1:10" ht="28.5" x14ac:dyDescent="0.2">
      <c r="A2300" s="571"/>
      <c r="B2300" s="572" t="s">
        <v>375</v>
      </c>
      <c r="C2300" s="573">
        <f>D2300/D2251</f>
        <v>0.13827059496636235</v>
      </c>
      <c r="D2300" s="574">
        <f>D2299+D2298</f>
        <v>1470370.9600962503</v>
      </c>
      <c r="E2300" s="575"/>
      <c r="F2300" s="575"/>
    </row>
    <row r="2301" spans="1:10" ht="115.5" customHeight="1" x14ac:dyDescent="0.2">
      <c r="A2301" s="804" t="s">
        <v>1075</v>
      </c>
      <c r="B2301" s="805"/>
      <c r="C2301" s="805"/>
      <c r="D2301" s="805"/>
      <c r="E2301" s="805"/>
      <c r="F2301" s="806"/>
      <c r="G2301" s="250" t="s">
        <v>348</v>
      </c>
      <c r="H2301" s="250" t="s">
        <v>349</v>
      </c>
      <c r="I2301" s="250"/>
      <c r="J2301" s="251" t="s">
        <v>350</v>
      </c>
    </row>
    <row r="2302" spans="1:10" ht="18.75" x14ac:dyDescent="0.2">
      <c r="A2302" s="173">
        <v>1</v>
      </c>
      <c r="B2302" s="254" t="s">
        <v>352</v>
      </c>
      <c r="C2302" s="175"/>
      <c r="D2302" s="798">
        <f>9934010.51+SUM(D2316:D2319)+D2346</f>
        <v>11634010.51</v>
      </c>
      <c r="E2302" s="799"/>
      <c r="F2302" s="800"/>
      <c r="G2302" s="252">
        <v>0.05</v>
      </c>
      <c r="H2302" s="584">
        <f>D2302-D2302*G2302</f>
        <v>11052309.9845</v>
      </c>
      <c r="I2302" s="584"/>
      <c r="J2302" s="253">
        <f>H2302-D2303-D2304*0.35-SUM(D2310:D2319)-D2320*0.35-D2322*0.35-SUM(D2323:D2324)-D2346-D2347</f>
        <v>1486330.5353675019</v>
      </c>
    </row>
    <row r="2303" spans="1:10" ht="18.75" x14ac:dyDescent="0.2">
      <c r="A2303" s="173">
        <v>2</v>
      </c>
      <c r="B2303" s="254" t="s">
        <v>841</v>
      </c>
      <c r="C2303" s="609"/>
      <c r="D2303" s="192">
        <v>100000</v>
      </c>
      <c r="E2303" s="610"/>
      <c r="F2303" s="609"/>
      <c r="G2303" s="252">
        <v>0.1</v>
      </c>
      <c r="H2303" s="584">
        <f>D2302-D2302*G2303</f>
        <v>10470609.458999999</v>
      </c>
      <c r="I2303" s="584"/>
      <c r="J2303" s="253">
        <f>H2303-D2303-D2304*0.35-SUM(D2310:D2319)-D2320*0.35-D2322*0.35-SUM(D2323:D2324)-D2346-D2347</f>
        <v>904630.00986750051</v>
      </c>
    </row>
    <row r="2304" spans="1:10" ht="18.75" x14ac:dyDescent="0.2">
      <c r="A2304" s="493" t="s">
        <v>623</v>
      </c>
      <c r="B2304" s="494" t="s">
        <v>842</v>
      </c>
      <c r="C2304" s="495"/>
      <c r="D2304" s="496">
        <f>SUM(D2305:D2308)</f>
        <v>170000</v>
      </c>
      <c r="E2304" s="496"/>
      <c r="F2304" s="496"/>
      <c r="G2304" s="252">
        <v>0.15</v>
      </c>
      <c r="H2304" s="584">
        <f>D2302-D2302*G2304</f>
        <v>9888908.9334999993</v>
      </c>
      <c r="I2304" s="584"/>
      <c r="J2304" s="253">
        <f>H2304-D2303-D2304*0.35-SUM(D2310:D2319)-D2320*0.35-D2322*0.35-SUM(D2323:D2324)-D2346-D2347</f>
        <v>322929.48436750099</v>
      </c>
    </row>
    <row r="2305" spans="1:10" ht="18.75" x14ac:dyDescent="0.2">
      <c r="A2305" s="497" t="s">
        <v>678</v>
      </c>
      <c r="B2305" s="611" t="s">
        <v>688</v>
      </c>
      <c r="C2305" s="611"/>
      <c r="D2305" s="612">
        <v>50000</v>
      </c>
      <c r="E2305" s="501"/>
      <c r="F2305" s="419" t="s">
        <v>1063</v>
      </c>
      <c r="G2305" s="252">
        <v>0.2</v>
      </c>
      <c r="H2305" s="584">
        <f>D2302-D2302*G2305</f>
        <v>9307208.4079999998</v>
      </c>
      <c r="I2305" s="584"/>
      <c r="J2305" s="253">
        <f>H2305-D2303-D2304*0.35-SUM(D2310:D2319)-D2320*0.35-D2322*0.35-SUM(D2323:D2324)-D2346-D2347</f>
        <v>-258771.04113249853</v>
      </c>
    </row>
    <row r="2306" spans="1:10" ht="18.75" x14ac:dyDescent="0.2">
      <c r="A2306" s="497" t="s">
        <v>680</v>
      </c>
      <c r="B2306" s="611" t="s">
        <v>690</v>
      </c>
      <c r="C2306" s="611"/>
      <c r="D2306" s="612">
        <v>70000</v>
      </c>
      <c r="E2306" s="501"/>
      <c r="F2306" s="419" t="s">
        <v>1063</v>
      </c>
      <c r="G2306" s="252">
        <v>0.25</v>
      </c>
      <c r="H2306" s="584">
        <f>D2302-D2302*G2306</f>
        <v>8725507.8825000003</v>
      </c>
      <c r="I2306" s="584"/>
      <c r="J2306" s="253">
        <f>H2306-D2303-D2304*0.35-SUM(D2310:D2319)-D2320*0.35-D2322*0.35-SUM(D2323:D2324)-D2346-D2347</f>
        <v>-840471.56663249806</v>
      </c>
    </row>
    <row r="2307" spans="1:10" x14ac:dyDescent="0.2">
      <c r="A2307" s="497" t="s">
        <v>738</v>
      </c>
      <c r="B2307" s="611" t="s">
        <v>692</v>
      </c>
      <c r="C2307" s="611"/>
      <c r="D2307" s="612">
        <v>50000</v>
      </c>
      <c r="E2307" s="501"/>
      <c r="F2307" s="419" t="s">
        <v>1063</v>
      </c>
    </row>
    <row r="2308" spans="1:10" ht="30" x14ac:dyDescent="0.2">
      <c r="A2308" s="497" t="s">
        <v>684</v>
      </c>
      <c r="B2308" s="611" t="s">
        <v>844</v>
      </c>
      <c r="C2308" s="611"/>
      <c r="D2308" s="612"/>
      <c r="E2308" s="501"/>
      <c r="F2308" s="419" t="s">
        <v>1064</v>
      </c>
    </row>
    <row r="2309" spans="1:10" x14ac:dyDescent="0.2">
      <c r="A2309" s="502" t="s">
        <v>625</v>
      </c>
      <c r="B2309" s="503" t="s">
        <v>846</v>
      </c>
      <c r="C2309" s="504"/>
      <c r="D2309" s="505">
        <f>SUM(D2310:D2321)</f>
        <v>3965000</v>
      </c>
      <c r="E2309" s="506"/>
      <c r="F2309" s="507"/>
    </row>
    <row r="2310" spans="1:10" ht="20.25" customHeight="1" x14ac:dyDescent="0.2">
      <c r="A2310" s="1009" t="s">
        <v>687</v>
      </c>
      <c r="B2310" s="509" t="s">
        <v>694</v>
      </c>
      <c r="C2310" s="510"/>
      <c r="D2310" s="511">
        <v>350000</v>
      </c>
      <c r="E2310" s="512"/>
      <c r="F2310" s="513" t="s">
        <v>1065</v>
      </c>
    </row>
    <row r="2311" spans="1:10" x14ac:dyDescent="0.2">
      <c r="A2311" s="1010"/>
      <c r="B2311" s="509" t="s">
        <v>696</v>
      </c>
      <c r="C2311" s="510"/>
      <c r="D2311" s="511">
        <v>5000</v>
      </c>
      <c r="E2311" s="512"/>
      <c r="F2311" s="513"/>
    </row>
    <row r="2312" spans="1:10" x14ac:dyDescent="0.2">
      <c r="A2312" s="1009" t="s">
        <v>689</v>
      </c>
      <c r="B2312" s="509" t="s">
        <v>561</v>
      </c>
      <c r="C2312" s="510"/>
      <c r="D2312" s="511">
        <v>300000</v>
      </c>
      <c r="E2312" s="512"/>
      <c r="F2312" s="513" t="s">
        <v>717</v>
      </c>
    </row>
    <row r="2313" spans="1:10" x14ac:dyDescent="0.2">
      <c r="A2313" s="1010"/>
      <c r="B2313" s="509" t="s">
        <v>697</v>
      </c>
      <c r="C2313" s="510"/>
      <c r="D2313" s="712">
        <v>150000</v>
      </c>
      <c r="E2313" s="512"/>
      <c r="F2313" s="513" t="s">
        <v>698</v>
      </c>
    </row>
    <row r="2314" spans="1:10" ht="30" x14ac:dyDescent="0.2">
      <c r="A2314" s="508" t="s">
        <v>691</v>
      </c>
      <c r="B2314" s="509" t="s">
        <v>850</v>
      </c>
      <c r="C2314" s="510"/>
      <c r="D2314" s="712">
        <v>800000</v>
      </c>
      <c r="E2314" s="512"/>
      <c r="F2314" s="513" t="s">
        <v>1066</v>
      </c>
    </row>
    <row r="2315" spans="1:10" x14ac:dyDescent="0.2">
      <c r="A2315" s="508" t="s">
        <v>702</v>
      </c>
      <c r="B2315" s="509" t="s">
        <v>703</v>
      </c>
      <c r="C2315" s="510"/>
      <c r="D2315" s="712">
        <v>400000</v>
      </c>
      <c r="E2315" s="512"/>
      <c r="F2315" s="513" t="s">
        <v>1067</v>
      </c>
    </row>
    <row r="2316" spans="1:10" x14ac:dyDescent="0.2">
      <c r="A2316" s="508" t="s">
        <v>704</v>
      </c>
      <c r="B2316" s="509" t="s">
        <v>681</v>
      </c>
      <c r="C2316" s="510"/>
      <c r="D2316" s="712">
        <v>100000</v>
      </c>
      <c r="E2316" s="512"/>
      <c r="F2316" s="513"/>
    </row>
    <row r="2317" spans="1:10" x14ac:dyDescent="0.2">
      <c r="A2317" s="508" t="s">
        <v>751</v>
      </c>
      <c r="B2317" s="509" t="s">
        <v>353</v>
      </c>
      <c r="C2317" s="510"/>
      <c r="D2317" s="712">
        <v>450000</v>
      </c>
      <c r="E2317" s="512"/>
      <c r="F2317" s="513"/>
    </row>
    <row r="2318" spans="1:10" x14ac:dyDescent="0.2">
      <c r="A2318" s="508" t="s">
        <v>752</v>
      </c>
      <c r="B2318" s="509" t="s">
        <v>745</v>
      </c>
      <c r="C2318" s="510"/>
      <c r="D2318" s="712">
        <v>200000</v>
      </c>
      <c r="E2318" s="512"/>
      <c r="F2318" s="513"/>
    </row>
    <row r="2319" spans="1:10" x14ac:dyDescent="0.2">
      <c r="A2319" s="508" t="s">
        <v>753</v>
      </c>
      <c r="B2319" s="509" t="s">
        <v>746</v>
      </c>
      <c r="C2319" s="510"/>
      <c r="D2319" s="511">
        <v>150000</v>
      </c>
      <c r="E2319" s="512"/>
      <c r="F2319" s="513"/>
    </row>
    <row r="2320" spans="1:10" x14ac:dyDescent="0.2">
      <c r="A2320" s="508" t="s">
        <v>755</v>
      </c>
      <c r="B2320" s="509" t="s">
        <v>1074</v>
      </c>
      <c r="C2320" s="510"/>
      <c r="D2320" s="511">
        <v>700000</v>
      </c>
      <c r="E2320" s="512"/>
      <c r="F2320" s="513"/>
    </row>
    <row r="2321" spans="1:6" x14ac:dyDescent="0.2">
      <c r="A2321" s="508" t="s">
        <v>756</v>
      </c>
      <c r="B2321" s="509" t="s">
        <v>705</v>
      </c>
      <c r="C2321" s="510"/>
      <c r="D2321" s="511">
        <v>360000</v>
      </c>
      <c r="E2321" s="512"/>
      <c r="F2321" s="513" t="s">
        <v>1063</v>
      </c>
    </row>
    <row r="2322" spans="1:6" x14ac:dyDescent="0.2">
      <c r="A2322" s="538" t="s">
        <v>627</v>
      </c>
      <c r="B2322" s="539" t="s">
        <v>706</v>
      </c>
      <c r="C2322" s="540"/>
      <c r="D2322" s="541">
        <f>SUM(D2323:D2325)</f>
        <v>1100000</v>
      </c>
      <c r="E2322" s="542"/>
      <c r="F2322" s="543"/>
    </row>
    <row r="2323" spans="1:6" x14ac:dyDescent="0.2">
      <c r="A2323" s="544" t="s">
        <v>628</v>
      </c>
      <c r="B2323" s="545" t="s">
        <v>707</v>
      </c>
      <c r="C2323" s="546"/>
      <c r="D2323" s="547">
        <v>350000</v>
      </c>
      <c r="E2323" s="548"/>
      <c r="F2323" s="549" t="s">
        <v>1063</v>
      </c>
    </row>
    <row r="2324" spans="1:6" x14ac:dyDescent="0.2">
      <c r="A2324" s="544" t="s">
        <v>629</v>
      </c>
      <c r="B2324" s="545" t="s">
        <v>563</v>
      </c>
      <c r="C2324" s="546"/>
      <c r="D2324" s="547">
        <v>350000</v>
      </c>
      <c r="E2324" s="548"/>
      <c r="F2324" s="549" t="s">
        <v>708</v>
      </c>
    </row>
    <row r="2325" spans="1:6" x14ac:dyDescent="0.2">
      <c r="A2325" s="544" t="s">
        <v>630</v>
      </c>
      <c r="B2325" s="545" t="s">
        <v>564</v>
      </c>
      <c r="C2325" s="546"/>
      <c r="D2325" s="547">
        <v>400000</v>
      </c>
      <c r="E2325" s="548"/>
      <c r="F2325" s="549" t="s">
        <v>124</v>
      </c>
    </row>
    <row r="2326" spans="1:6" ht="29.25" x14ac:dyDescent="0.2">
      <c r="A2326" s="550" t="s">
        <v>655</v>
      </c>
      <c r="B2326" s="551" t="s">
        <v>1041</v>
      </c>
      <c r="C2326" s="552">
        <v>0.5</v>
      </c>
      <c r="D2326" s="553">
        <f>D2302*C2326</f>
        <v>5817005.2549999999</v>
      </c>
      <c r="E2326" s="554"/>
      <c r="F2326" s="555"/>
    </row>
    <row r="2327" spans="1:6" x14ac:dyDescent="0.2">
      <c r="A2327" s="556" t="s">
        <v>709</v>
      </c>
      <c r="B2327" s="557" t="s">
        <v>357</v>
      </c>
      <c r="C2327" s="558">
        <v>0.08</v>
      </c>
      <c r="D2327" s="559">
        <f>C2327*D2326</f>
        <v>465360.4204</v>
      </c>
      <c r="E2327" s="560"/>
      <c r="F2327" s="561"/>
    </row>
    <row r="2328" spans="1:6" ht="30" x14ac:dyDescent="0.2">
      <c r="A2328" s="556" t="s">
        <v>711</v>
      </c>
      <c r="B2328" s="557" t="s">
        <v>712</v>
      </c>
      <c r="C2328" s="558">
        <v>0.06</v>
      </c>
      <c r="D2328" s="559">
        <f>D2326*C2328</f>
        <v>349020.31529999996</v>
      </c>
      <c r="E2328" s="561"/>
      <c r="F2328" s="561"/>
    </row>
    <row r="2329" spans="1:6" x14ac:dyDescent="0.2">
      <c r="A2329" s="556" t="s">
        <v>713</v>
      </c>
      <c r="B2329" s="557" t="s">
        <v>355</v>
      </c>
      <c r="C2329" s="558">
        <v>0.05</v>
      </c>
      <c r="D2329" s="559">
        <f>D2326*C2329</f>
        <v>290850.26274999999</v>
      </c>
      <c r="E2329" s="561"/>
      <c r="F2329" s="561"/>
    </row>
    <row r="2330" spans="1:6" x14ac:dyDescent="0.2">
      <c r="A2330" s="556" t="s">
        <v>715</v>
      </c>
      <c r="B2330" s="557" t="s">
        <v>290</v>
      </c>
      <c r="C2330" s="558">
        <v>0.03</v>
      </c>
      <c r="D2330" s="559">
        <f>C2330*D2326</f>
        <v>174510.15764999998</v>
      </c>
      <c r="E2330" s="560"/>
      <c r="F2330" s="561" t="s">
        <v>124</v>
      </c>
    </row>
    <row r="2331" spans="1:6" x14ac:dyDescent="0.2">
      <c r="A2331" s="556" t="s">
        <v>716</v>
      </c>
      <c r="B2331" s="557" t="s">
        <v>360</v>
      </c>
      <c r="C2331" s="558">
        <v>0.05</v>
      </c>
      <c r="D2331" s="559">
        <f>D2326*C2331</f>
        <v>290850.26274999999</v>
      </c>
      <c r="E2331" s="560"/>
      <c r="F2331" s="561" t="s">
        <v>717</v>
      </c>
    </row>
    <row r="2332" spans="1:6" x14ac:dyDescent="0.2">
      <c r="A2332" s="556" t="s">
        <v>718</v>
      </c>
      <c r="B2332" s="557" t="s">
        <v>361</v>
      </c>
      <c r="C2332" s="558">
        <v>0.06</v>
      </c>
      <c r="D2332" s="559">
        <f>C2332*D2326</f>
        <v>349020.31529999996</v>
      </c>
      <c r="E2332" s="560"/>
      <c r="F2332" s="561" t="s">
        <v>857</v>
      </c>
    </row>
    <row r="2333" spans="1:6" x14ac:dyDescent="0.2">
      <c r="A2333" s="556" t="s">
        <v>719</v>
      </c>
      <c r="B2333" s="557" t="s">
        <v>364</v>
      </c>
      <c r="C2333" s="558">
        <v>0.03</v>
      </c>
      <c r="D2333" s="559">
        <f>C2333*D2326</f>
        <v>174510.15764999998</v>
      </c>
      <c r="E2333" s="560"/>
      <c r="F2333" s="561"/>
    </row>
    <row r="2334" spans="1:6" x14ac:dyDescent="0.2">
      <c r="A2334" s="556" t="s">
        <v>720</v>
      </c>
      <c r="B2334" s="562" t="s">
        <v>366</v>
      </c>
      <c r="C2334" s="563">
        <v>0.04</v>
      </c>
      <c r="D2334" s="564">
        <f>D2326*C2334</f>
        <v>232680.2102</v>
      </c>
      <c r="E2334" s="565"/>
      <c r="F2334" s="561"/>
    </row>
    <row r="2335" spans="1:6" x14ac:dyDescent="0.2">
      <c r="A2335" s="556" t="s">
        <v>721</v>
      </c>
      <c r="B2335" s="562" t="s">
        <v>368</v>
      </c>
      <c r="C2335" s="563">
        <v>4.4999999999999998E-2</v>
      </c>
      <c r="D2335" s="564">
        <f>D2326*C2335</f>
        <v>261765.23647499998</v>
      </c>
      <c r="E2335" s="560"/>
      <c r="F2335" s="561"/>
    </row>
    <row r="2336" spans="1:6" x14ac:dyDescent="0.2">
      <c r="A2336" s="556" t="s">
        <v>722</v>
      </c>
      <c r="B2336" s="562" t="s">
        <v>723</v>
      </c>
      <c r="C2336" s="563">
        <v>0.03</v>
      </c>
      <c r="D2336" s="564">
        <f>C2336*D2326</f>
        <v>174510.15764999998</v>
      </c>
      <c r="E2336" s="560"/>
      <c r="F2336" s="561" t="s">
        <v>370</v>
      </c>
    </row>
    <row r="2337" spans="1:10" x14ac:dyDescent="0.2">
      <c r="A2337" s="556" t="s">
        <v>724</v>
      </c>
      <c r="B2337" s="562" t="s">
        <v>725</v>
      </c>
      <c r="C2337" s="563">
        <v>0.03</v>
      </c>
      <c r="D2337" s="564">
        <f>C2337*D2326</f>
        <v>174510.15764999998</v>
      </c>
      <c r="E2337" s="560"/>
      <c r="F2337" s="561"/>
    </row>
    <row r="2338" spans="1:10" x14ac:dyDescent="0.2">
      <c r="A2338" s="556" t="s">
        <v>726</v>
      </c>
      <c r="B2338" s="562" t="s">
        <v>299</v>
      </c>
      <c r="C2338" s="563">
        <v>3.5000000000000003E-2</v>
      </c>
      <c r="D2338" s="564">
        <f>C2338*D2326</f>
        <v>203595.18392500002</v>
      </c>
      <c r="E2338" s="560"/>
      <c r="F2338" s="561" t="s">
        <v>727</v>
      </c>
    </row>
    <row r="2339" spans="1:10" x14ac:dyDescent="0.2">
      <c r="A2339" s="556" t="s">
        <v>728</v>
      </c>
      <c r="B2339" s="562" t="s">
        <v>272</v>
      </c>
      <c r="C2339" s="563">
        <v>0.03</v>
      </c>
      <c r="D2339" s="564">
        <f>C2339*D2326</f>
        <v>174510.15764999998</v>
      </c>
      <c r="E2339" s="560"/>
      <c r="F2339" s="561"/>
    </row>
    <row r="2340" spans="1:10" x14ac:dyDescent="0.2">
      <c r="A2340" s="556" t="s">
        <v>729</v>
      </c>
      <c r="B2340" s="562" t="s">
        <v>273</v>
      </c>
      <c r="C2340" s="563">
        <v>0.02</v>
      </c>
      <c r="D2340" s="564">
        <f>C2340*D2326</f>
        <v>116340.1051</v>
      </c>
      <c r="E2340" s="565"/>
      <c r="F2340" s="561"/>
    </row>
    <row r="2341" spans="1:10" x14ac:dyDescent="0.2">
      <c r="A2341" s="556" t="s">
        <v>730</v>
      </c>
      <c r="B2341" s="562" t="s">
        <v>261</v>
      </c>
      <c r="C2341" s="563">
        <v>0.03</v>
      </c>
      <c r="D2341" s="564">
        <f>C2341*D2326</f>
        <v>174510.15764999998</v>
      </c>
      <c r="E2341" s="560"/>
      <c r="F2341" s="561" t="s">
        <v>373</v>
      </c>
    </row>
    <row r="2342" spans="1:10" x14ac:dyDescent="0.2">
      <c r="A2342" s="556" t="s">
        <v>732</v>
      </c>
      <c r="B2342" s="562" t="s">
        <v>341</v>
      </c>
      <c r="C2342" s="563">
        <v>0.05</v>
      </c>
      <c r="D2342" s="564">
        <f>C2342*D2326</f>
        <v>290850.26274999999</v>
      </c>
      <c r="E2342" s="565"/>
      <c r="F2342" s="561" t="s">
        <v>733</v>
      </c>
    </row>
    <row r="2343" spans="1:10" x14ac:dyDescent="0.2">
      <c r="A2343" s="556" t="s">
        <v>734</v>
      </c>
      <c r="B2343" s="562" t="s">
        <v>432</v>
      </c>
      <c r="C2343" s="563">
        <v>0.09</v>
      </c>
      <c r="D2343" s="564">
        <f>C2343*D2326</f>
        <v>523530.47294999997</v>
      </c>
      <c r="E2343" s="565"/>
      <c r="F2343" s="561" t="s">
        <v>1063</v>
      </c>
    </row>
    <row r="2344" spans="1:10" ht="30" x14ac:dyDescent="0.2">
      <c r="A2344" s="556" t="s">
        <v>858</v>
      </c>
      <c r="B2344" s="562" t="s">
        <v>100</v>
      </c>
      <c r="C2344" s="563">
        <v>0.05</v>
      </c>
      <c r="D2344" s="564">
        <f>C2344*D2326</f>
        <v>290850.26274999999</v>
      </c>
      <c r="E2344" s="566"/>
      <c r="F2344" s="560"/>
    </row>
    <row r="2345" spans="1:10" x14ac:dyDescent="0.2">
      <c r="A2345" s="525">
        <v>7</v>
      </c>
      <c r="B2345" s="617" t="s">
        <v>859</v>
      </c>
      <c r="C2345" s="527"/>
      <c r="D2345" s="528">
        <f>SUM(D2346:D2346)</f>
        <v>800000</v>
      </c>
      <c r="E2345" s="529"/>
      <c r="F2345" s="530"/>
    </row>
    <row r="2346" spans="1:10" x14ac:dyDescent="0.2">
      <c r="A2346" s="531" t="s">
        <v>860</v>
      </c>
      <c r="B2346" s="532" t="s">
        <v>1068</v>
      </c>
      <c r="C2346" s="533"/>
      <c r="D2346" s="534">
        <v>800000</v>
      </c>
      <c r="E2346" s="535"/>
      <c r="F2346" s="536" t="s">
        <v>862</v>
      </c>
    </row>
    <row r="2347" spans="1:10" x14ac:dyDescent="0.2">
      <c r="A2347" s="550"/>
      <c r="B2347" s="567" t="s">
        <v>1048</v>
      </c>
      <c r="C2347" s="568">
        <f>SUM(C2327:C2346)</f>
        <v>0.81000000000000016</v>
      </c>
      <c r="D2347" s="569">
        <f>SUM(D2327:D2342,D2344)+0.35*D2343</f>
        <v>4371479.4491324984</v>
      </c>
      <c r="E2347" s="570"/>
      <c r="F2347" s="554"/>
    </row>
    <row r="2348" spans="1:10" x14ac:dyDescent="0.2">
      <c r="A2348" s="550"/>
      <c r="B2348" s="567" t="s">
        <v>132</v>
      </c>
      <c r="C2348" s="568">
        <v>0.05</v>
      </c>
      <c r="D2348" s="569">
        <f>C2348*D2326</f>
        <v>290850.26274999999</v>
      </c>
      <c r="E2348" s="570"/>
      <c r="F2348" s="554"/>
    </row>
    <row r="2349" spans="1:10" ht="28.5" x14ac:dyDescent="0.2">
      <c r="A2349" s="550"/>
      <c r="B2349" s="567" t="s">
        <v>308</v>
      </c>
      <c r="C2349" s="568">
        <f>D2349/D2302</f>
        <v>0.18125140907385184</v>
      </c>
      <c r="D2349" s="569">
        <f>D2302-D2303-D2304*0.35-SUM(D2310:D2319)-D2321*0.35-D2323*0.35-SUM(D2324:D2325)-D2345-D2347-D2348</f>
        <v>2108680.7981175017</v>
      </c>
      <c r="E2349" s="570"/>
      <c r="F2349" s="554"/>
    </row>
    <row r="2350" spans="1:10" ht="28.5" x14ac:dyDescent="0.2">
      <c r="A2350" s="571"/>
      <c r="B2350" s="572" t="s">
        <v>375</v>
      </c>
      <c r="C2350" s="573">
        <f>D2350/D2302</f>
        <v>0.20625140907385181</v>
      </c>
      <c r="D2350" s="574">
        <f>D2349+D2348</f>
        <v>2399531.0608675014</v>
      </c>
      <c r="E2350" s="575"/>
      <c r="F2350" s="575"/>
    </row>
    <row r="2351" spans="1:10" ht="45.75" customHeight="1" x14ac:dyDescent="0.2">
      <c r="A2351" s="804" t="s">
        <v>1076</v>
      </c>
      <c r="B2351" s="805"/>
      <c r="C2351" s="805"/>
      <c r="D2351" s="805"/>
      <c r="E2351" s="805"/>
      <c r="F2351" s="806"/>
      <c r="G2351" s="250" t="s">
        <v>348</v>
      </c>
      <c r="H2351" s="250" t="s">
        <v>349</v>
      </c>
      <c r="I2351" s="250"/>
      <c r="J2351" s="251" t="s">
        <v>350</v>
      </c>
    </row>
    <row r="2352" spans="1:10" ht="18.75" x14ac:dyDescent="0.2">
      <c r="A2352" s="173">
        <v>1</v>
      </c>
      <c r="B2352" s="254" t="s">
        <v>352</v>
      </c>
      <c r="C2352" s="175"/>
      <c r="D2352" s="798">
        <f>D2158+D2208+D2251+D2302</f>
        <v>45785385.529999994</v>
      </c>
      <c r="E2352" s="799"/>
      <c r="F2352" s="800"/>
      <c r="G2352" s="252">
        <v>0.05</v>
      </c>
      <c r="H2352" s="584">
        <f>D2352-D2352*G2352</f>
        <v>43496116.253499992</v>
      </c>
      <c r="I2352" s="584"/>
      <c r="J2352" s="253">
        <f>H2352-D2353-D2354*0.35-SUM(D2360:D2369)-D2370*0.35-D2372*0.35-SUM(D2373:D2374)-D2395-D2397-D2398</f>
        <v>7414049.9300024966</v>
      </c>
    </row>
    <row r="2353" spans="1:11" ht="18.75" x14ac:dyDescent="0.2">
      <c r="A2353" s="173">
        <v>2</v>
      </c>
      <c r="B2353" s="254" t="s">
        <v>841</v>
      </c>
      <c r="C2353" s="609"/>
      <c r="D2353" s="192">
        <v>100000</v>
      </c>
      <c r="E2353" s="610"/>
      <c r="F2353" s="609"/>
      <c r="G2353" s="252">
        <v>0.1</v>
      </c>
      <c r="H2353" s="584">
        <f>D2352-D2352*G2353</f>
        <v>41206846.976999998</v>
      </c>
      <c r="I2353" s="584"/>
      <c r="J2353" s="253">
        <f>H2353-D2353-D2354*0.35-SUM(D2360:D2369)-D2370*0.35-D2372*0.35-SUM(D2373:D2374)-D2395-D2397-D2398</f>
        <v>5124780.6535025025</v>
      </c>
      <c r="K2353" s="299"/>
    </row>
    <row r="2354" spans="1:11" ht="18.75" x14ac:dyDescent="0.2">
      <c r="A2354" s="493" t="s">
        <v>623</v>
      </c>
      <c r="B2354" s="494" t="s">
        <v>842</v>
      </c>
      <c r="C2354" s="495"/>
      <c r="D2354" s="496">
        <f>SUM(D2355:D2358)</f>
        <v>710000</v>
      </c>
      <c r="E2354" s="496"/>
      <c r="F2354" s="496"/>
      <c r="G2354" s="252">
        <v>0.15</v>
      </c>
      <c r="H2354" s="584">
        <f>D2352-D2352*G2354</f>
        <v>38917577.700499997</v>
      </c>
      <c r="I2354" s="584"/>
      <c r="J2354" s="253">
        <f>H2354-D2353-D2354*0.35-SUM(D2360:D2369)-D2370*0.35-D2372*0.35-SUM(D2373:D2374)-D2395-D2397-D2398</f>
        <v>2835511.3770025009</v>
      </c>
    </row>
    <row r="2355" spans="1:11" ht="18.75" x14ac:dyDescent="0.2">
      <c r="A2355" s="497" t="s">
        <v>678</v>
      </c>
      <c r="B2355" s="611" t="s">
        <v>688</v>
      </c>
      <c r="C2355" s="611"/>
      <c r="D2355" s="612">
        <v>200000</v>
      </c>
      <c r="E2355" s="501"/>
      <c r="F2355" s="419" t="s">
        <v>1063</v>
      </c>
      <c r="G2355" s="252">
        <v>0.2</v>
      </c>
      <c r="H2355" s="584">
        <f>D2352-D2352*G2355</f>
        <v>36628308.423999995</v>
      </c>
      <c r="I2355" s="584"/>
      <c r="J2355" s="253">
        <f>H2355-D2353-D2354*0.35-SUM(D2360:D2369)-D2370*0.35-D2372*0.35-SUM(D2373:D2374)-D2395-D2397-D2398</f>
        <v>546242.10050249938</v>
      </c>
    </row>
    <row r="2356" spans="1:11" ht="18.75" x14ac:dyDescent="0.2">
      <c r="A2356" s="497" t="s">
        <v>680</v>
      </c>
      <c r="B2356" s="611" t="s">
        <v>690</v>
      </c>
      <c r="C2356" s="611"/>
      <c r="D2356" s="612">
        <v>310000</v>
      </c>
      <c r="E2356" s="501"/>
      <c r="F2356" s="419" t="s">
        <v>1063</v>
      </c>
      <c r="G2356" s="252">
        <v>0.25</v>
      </c>
      <c r="H2356" s="584">
        <f>D2352-D2352*G2356</f>
        <v>34339039.147499993</v>
      </c>
      <c r="I2356" s="584"/>
      <c r="J2356" s="253">
        <f>H2356-D2353-D2354*0.35-SUM(D2360:D2369)-D2370*0.35-D2372*0.35-SUM(D2373:D2374)-D2395-D2397-D2398</f>
        <v>-1743027.1759975022</v>
      </c>
    </row>
    <row r="2357" spans="1:11" x14ac:dyDescent="0.2">
      <c r="A2357" s="497" t="s">
        <v>738</v>
      </c>
      <c r="B2357" s="611" t="s">
        <v>692</v>
      </c>
      <c r="C2357" s="611"/>
      <c r="D2357" s="612">
        <v>200000</v>
      </c>
      <c r="E2357" s="501"/>
      <c r="F2357" s="419" t="s">
        <v>1063</v>
      </c>
    </row>
    <row r="2358" spans="1:11" ht="30" x14ac:dyDescent="0.2">
      <c r="A2358" s="497" t="s">
        <v>684</v>
      </c>
      <c r="B2358" s="611" t="s">
        <v>844</v>
      </c>
      <c r="C2358" s="611"/>
      <c r="D2358" s="612"/>
      <c r="E2358" s="501"/>
      <c r="F2358" s="419" t="s">
        <v>1064</v>
      </c>
    </row>
    <row r="2359" spans="1:11" x14ac:dyDescent="0.2">
      <c r="A2359" s="502" t="s">
        <v>625</v>
      </c>
      <c r="B2359" s="503" t="s">
        <v>846</v>
      </c>
      <c r="C2359" s="504"/>
      <c r="D2359" s="505">
        <f>SUM(D2360:D2370)</f>
        <v>11810000</v>
      </c>
      <c r="E2359" s="506"/>
      <c r="F2359" s="507"/>
    </row>
    <row r="2360" spans="1:11" x14ac:dyDescent="0.2">
      <c r="A2360" s="1009" t="s">
        <v>687</v>
      </c>
      <c r="B2360" s="509" t="s">
        <v>694</v>
      </c>
      <c r="C2360" s="510"/>
      <c r="D2360" s="511">
        <f>350000*4</f>
        <v>1400000</v>
      </c>
      <c r="E2360" s="512"/>
      <c r="F2360" s="513" t="s">
        <v>1065</v>
      </c>
    </row>
    <row r="2361" spans="1:11" x14ac:dyDescent="0.2">
      <c r="A2361" s="1010"/>
      <c r="B2361" s="509" t="s">
        <v>696</v>
      </c>
      <c r="C2361" s="510"/>
      <c r="D2361" s="511">
        <f>5000*4</f>
        <v>20000</v>
      </c>
      <c r="E2361" s="512"/>
      <c r="F2361" s="513"/>
    </row>
    <row r="2362" spans="1:11" x14ac:dyDescent="0.2">
      <c r="A2362" s="1009" t="s">
        <v>689</v>
      </c>
      <c r="B2362" s="509" t="s">
        <v>561</v>
      </c>
      <c r="C2362" s="510"/>
      <c r="D2362" s="511">
        <v>1300000</v>
      </c>
      <c r="E2362" s="512"/>
      <c r="F2362" s="513" t="s">
        <v>717</v>
      </c>
    </row>
    <row r="2363" spans="1:11" x14ac:dyDescent="0.2">
      <c r="A2363" s="1010"/>
      <c r="B2363" s="509" t="s">
        <v>697</v>
      </c>
      <c r="C2363" s="510"/>
      <c r="D2363" s="712">
        <v>400000</v>
      </c>
      <c r="E2363" s="512"/>
      <c r="F2363" s="513" t="s">
        <v>698</v>
      </c>
    </row>
    <row r="2364" spans="1:11" ht="30" x14ac:dyDescent="0.2">
      <c r="A2364" s="508" t="s">
        <v>691</v>
      </c>
      <c r="B2364" s="509" t="s">
        <v>850</v>
      </c>
      <c r="C2364" s="510"/>
      <c r="D2364" s="712">
        <v>3300000</v>
      </c>
      <c r="E2364" s="512"/>
      <c r="F2364" s="513" t="s">
        <v>1066</v>
      </c>
    </row>
    <row r="2365" spans="1:11" x14ac:dyDescent="0.2">
      <c r="A2365" s="508" t="s">
        <v>702</v>
      </c>
      <c r="B2365" s="509" t="s">
        <v>703</v>
      </c>
      <c r="C2365" s="510"/>
      <c r="D2365" s="712">
        <v>1600000</v>
      </c>
      <c r="E2365" s="512" t="e">
        <f>с</f>
        <v>#NAME?</v>
      </c>
      <c r="F2365" s="513"/>
    </row>
    <row r="2366" spans="1:11" x14ac:dyDescent="0.2">
      <c r="A2366" s="508" t="s">
        <v>704</v>
      </c>
      <c r="B2366" s="509" t="s">
        <v>681</v>
      </c>
      <c r="C2366" s="510"/>
      <c r="D2366" s="712">
        <v>300000</v>
      </c>
      <c r="E2366" s="512"/>
      <c r="F2366" s="513"/>
    </row>
    <row r="2367" spans="1:11" x14ac:dyDescent="0.2">
      <c r="A2367" s="508" t="s">
        <v>751</v>
      </c>
      <c r="B2367" s="509" t="s">
        <v>353</v>
      </c>
      <c r="C2367" s="510"/>
      <c r="D2367" s="712">
        <v>1200000</v>
      </c>
      <c r="E2367" s="512"/>
      <c r="F2367" s="513"/>
    </row>
    <row r="2368" spans="1:11" x14ac:dyDescent="0.2">
      <c r="A2368" s="508" t="s">
        <v>752</v>
      </c>
      <c r="B2368" s="509" t="s">
        <v>745</v>
      </c>
      <c r="C2368" s="510"/>
      <c r="D2368" s="712">
        <v>500000</v>
      </c>
      <c r="E2368" s="512"/>
      <c r="F2368" s="513"/>
    </row>
    <row r="2369" spans="1:6" x14ac:dyDescent="0.2">
      <c r="A2369" s="508" t="s">
        <v>753</v>
      </c>
      <c r="B2369" s="509" t="s">
        <v>746</v>
      </c>
      <c r="C2369" s="510"/>
      <c r="D2369" s="511">
        <v>350000</v>
      </c>
      <c r="E2369" s="512"/>
      <c r="F2369" s="513"/>
    </row>
    <row r="2370" spans="1:6" x14ac:dyDescent="0.2">
      <c r="A2370" s="508" t="s">
        <v>755</v>
      </c>
      <c r="B2370" s="509" t="s">
        <v>705</v>
      </c>
      <c r="C2370" s="510"/>
      <c r="D2370" s="511">
        <f>360000*4</f>
        <v>1440000</v>
      </c>
      <c r="E2370" s="512"/>
      <c r="F2370" s="513" t="s">
        <v>1063</v>
      </c>
    </row>
    <row r="2371" spans="1:6" x14ac:dyDescent="0.2">
      <c r="A2371" s="538" t="s">
        <v>627</v>
      </c>
      <c r="B2371" s="539" t="s">
        <v>706</v>
      </c>
      <c r="C2371" s="540"/>
      <c r="D2371" s="541">
        <f>SUM(D2372:D2374)</f>
        <v>4350000</v>
      </c>
      <c r="E2371" s="542"/>
      <c r="F2371" s="543"/>
    </row>
    <row r="2372" spans="1:6" x14ac:dyDescent="0.2">
      <c r="A2372" s="544" t="s">
        <v>628</v>
      </c>
      <c r="B2372" s="545" t="s">
        <v>707</v>
      </c>
      <c r="C2372" s="546"/>
      <c r="D2372" s="547">
        <f>350000*4</f>
        <v>1400000</v>
      </c>
      <c r="E2372" s="548"/>
      <c r="F2372" s="549" t="s">
        <v>1063</v>
      </c>
    </row>
    <row r="2373" spans="1:6" x14ac:dyDescent="0.2">
      <c r="A2373" s="544" t="s">
        <v>629</v>
      </c>
      <c r="B2373" s="545" t="s">
        <v>563</v>
      </c>
      <c r="C2373" s="546"/>
      <c r="D2373" s="547">
        <v>1350000</v>
      </c>
      <c r="E2373" s="548"/>
      <c r="F2373" s="549" t="s">
        <v>708</v>
      </c>
    </row>
    <row r="2374" spans="1:6" x14ac:dyDescent="0.2">
      <c r="A2374" s="544" t="s">
        <v>630</v>
      </c>
      <c r="B2374" s="545" t="s">
        <v>564</v>
      </c>
      <c r="C2374" s="546"/>
      <c r="D2374" s="547">
        <v>1600000</v>
      </c>
      <c r="E2374" s="548"/>
      <c r="F2374" s="549" t="s">
        <v>124</v>
      </c>
    </row>
    <row r="2375" spans="1:6" ht="29.25" x14ac:dyDescent="0.2">
      <c r="A2375" s="550" t="s">
        <v>655</v>
      </c>
      <c r="B2375" s="551" t="s">
        <v>1041</v>
      </c>
      <c r="C2375" s="552">
        <v>0.5</v>
      </c>
      <c r="D2375" s="553">
        <f>D2352*C2375</f>
        <v>22892692.764999997</v>
      </c>
      <c r="E2375" s="554"/>
      <c r="F2375" s="555"/>
    </row>
    <row r="2376" spans="1:6" x14ac:dyDescent="0.2">
      <c r="A2376" s="556" t="s">
        <v>709</v>
      </c>
      <c r="B2376" s="557" t="s">
        <v>357</v>
      </c>
      <c r="C2376" s="558">
        <v>0.08</v>
      </c>
      <c r="D2376" s="559">
        <f>C2376*D2375</f>
        <v>1831415.4211999997</v>
      </c>
      <c r="E2376" s="560"/>
      <c r="F2376" s="561"/>
    </row>
    <row r="2377" spans="1:6" ht="30" x14ac:dyDescent="0.2">
      <c r="A2377" s="556" t="s">
        <v>711</v>
      </c>
      <c r="B2377" s="557" t="s">
        <v>712</v>
      </c>
      <c r="C2377" s="558">
        <v>0.06</v>
      </c>
      <c r="D2377" s="559">
        <f>D2375*C2377</f>
        <v>1373561.5658999998</v>
      </c>
      <c r="E2377" s="561"/>
      <c r="F2377" s="561"/>
    </row>
    <row r="2378" spans="1:6" x14ac:dyDescent="0.2">
      <c r="A2378" s="556" t="s">
        <v>713</v>
      </c>
      <c r="B2378" s="557" t="s">
        <v>355</v>
      </c>
      <c r="C2378" s="558">
        <v>0.05</v>
      </c>
      <c r="D2378" s="559">
        <f>D2375*C2378</f>
        <v>1144634.6382499998</v>
      </c>
      <c r="E2378" s="561"/>
      <c r="F2378" s="561"/>
    </row>
    <row r="2379" spans="1:6" x14ac:dyDescent="0.2">
      <c r="A2379" s="556" t="s">
        <v>715</v>
      </c>
      <c r="B2379" s="557" t="s">
        <v>290</v>
      </c>
      <c r="C2379" s="558">
        <v>1.4999999999999999E-2</v>
      </c>
      <c r="D2379" s="559">
        <f>C2379*D2375</f>
        <v>343390.39147499995</v>
      </c>
      <c r="E2379" s="560"/>
      <c r="F2379" s="561" t="s">
        <v>1077</v>
      </c>
    </row>
    <row r="2380" spans="1:6" x14ac:dyDescent="0.2">
      <c r="A2380" s="556" t="s">
        <v>716</v>
      </c>
      <c r="B2380" s="557" t="s">
        <v>360</v>
      </c>
      <c r="C2380" s="558">
        <v>0.05</v>
      </c>
      <c r="D2380" s="559">
        <f>D2375*C2380</f>
        <v>1144634.6382499998</v>
      </c>
      <c r="E2380" s="560"/>
      <c r="F2380" s="561" t="s">
        <v>717</v>
      </c>
    </row>
    <row r="2381" spans="1:6" x14ac:dyDescent="0.2">
      <c r="A2381" s="556" t="s">
        <v>718</v>
      </c>
      <c r="B2381" s="557" t="s">
        <v>361</v>
      </c>
      <c r="C2381" s="558">
        <v>0.06</v>
      </c>
      <c r="D2381" s="559">
        <f>C2381*D2375</f>
        <v>1373561.5658999998</v>
      </c>
      <c r="E2381" s="560"/>
      <c r="F2381" s="561" t="s">
        <v>857</v>
      </c>
    </row>
    <row r="2382" spans="1:6" x14ac:dyDescent="0.2">
      <c r="A2382" s="556" t="s">
        <v>719</v>
      </c>
      <c r="B2382" s="557" t="s">
        <v>364</v>
      </c>
      <c r="C2382" s="558">
        <v>3.5000000000000003E-2</v>
      </c>
      <c r="D2382" s="559">
        <f>C2382*D2375</f>
        <v>801244.24677500001</v>
      </c>
      <c r="E2382" s="560"/>
      <c r="F2382" s="561"/>
    </row>
    <row r="2383" spans="1:6" x14ac:dyDescent="0.2">
      <c r="A2383" s="556" t="s">
        <v>720</v>
      </c>
      <c r="B2383" s="562" t="s">
        <v>366</v>
      </c>
      <c r="C2383" s="563">
        <v>0.04</v>
      </c>
      <c r="D2383" s="564">
        <f>D2375*C2383</f>
        <v>915707.71059999987</v>
      </c>
      <c r="E2383" s="565"/>
      <c r="F2383" s="561"/>
    </row>
    <row r="2384" spans="1:6" x14ac:dyDescent="0.2">
      <c r="A2384" s="556" t="s">
        <v>721</v>
      </c>
      <c r="B2384" s="562" t="s">
        <v>368</v>
      </c>
      <c r="C2384" s="563">
        <v>0.05</v>
      </c>
      <c r="D2384" s="564">
        <f>D2375*C2384</f>
        <v>1144634.6382499998</v>
      </c>
      <c r="E2384" s="560"/>
      <c r="F2384" s="561"/>
    </row>
    <row r="2385" spans="1:6" x14ac:dyDescent="0.2">
      <c r="A2385" s="556" t="s">
        <v>722</v>
      </c>
      <c r="B2385" s="562" t="s">
        <v>723</v>
      </c>
      <c r="C2385" s="563">
        <v>0.03</v>
      </c>
      <c r="D2385" s="564">
        <f>C2385*D2375</f>
        <v>686780.78294999991</v>
      </c>
      <c r="E2385" s="560"/>
      <c r="F2385" s="561" t="s">
        <v>370</v>
      </c>
    </row>
    <row r="2386" spans="1:6" x14ac:dyDescent="0.2">
      <c r="A2386" s="556" t="s">
        <v>724</v>
      </c>
      <c r="B2386" s="562" t="s">
        <v>725</v>
      </c>
      <c r="C2386" s="563">
        <v>4.4999999999999998E-2</v>
      </c>
      <c r="D2386" s="564">
        <f>C2386*D2375</f>
        <v>1030171.1744249999</v>
      </c>
      <c r="E2386" s="560"/>
      <c r="F2386" s="561"/>
    </row>
    <row r="2387" spans="1:6" x14ac:dyDescent="0.2">
      <c r="A2387" s="556" t="s">
        <v>726</v>
      </c>
      <c r="B2387" s="562" t="s">
        <v>299</v>
      </c>
      <c r="C2387" s="563">
        <v>0.02</v>
      </c>
      <c r="D2387" s="564">
        <f>C2387*D2375</f>
        <v>457853.85529999994</v>
      </c>
      <c r="E2387" s="560"/>
      <c r="F2387" s="561" t="s">
        <v>1077</v>
      </c>
    </row>
    <row r="2388" spans="1:6" x14ac:dyDescent="0.2">
      <c r="A2388" s="556" t="s">
        <v>728</v>
      </c>
      <c r="B2388" s="562" t="s">
        <v>272</v>
      </c>
      <c r="C2388" s="563">
        <v>1.2500000000000001E-2</v>
      </c>
      <c r="D2388" s="564">
        <f>C2388*D2375</f>
        <v>286158.65956249996</v>
      </c>
      <c r="E2388" s="560"/>
      <c r="F2388" s="561" t="s">
        <v>1077</v>
      </c>
    </row>
    <row r="2389" spans="1:6" x14ac:dyDescent="0.2">
      <c r="A2389" s="556" t="s">
        <v>729</v>
      </c>
      <c r="B2389" s="562" t="s">
        <v>273</v>
      </c>
      <c r="C2389" s="563">
        <v>1.2500000000000001E-2</v>
      </c>
      <c r="D2389" s="564">
        <f>C2389*D2375</f>
        <v>286158.65956249996</v>
      </c>
      <c r="E2389" s="565"/>
      <c r="F2389" s="561" t="s">
        <v>1077</v>
      </c>
    </row>
    <row r="2390" spans="1:6" x14ac:dyDescent="0.2">
      <c r="A2390" s="556" t="s">
        <v>730</v>
      </c>
      <c r="B2390" s="562" t="s">
        <v>261</v>
      </c>
      <c r="C2390" s="563">
        <v>2.5000000000000001E-2</v>
      </c>
      <c r="D2390" s="564">
        <f>C2390*D2375</f>
        <v>572317.31912499992</v>
      </c>
      <c r="E2390" s="560"/>
      <c r="F2390" s="561" t="s">
        <v>373</v>
      </c>
    </row>
    <row r="2391" spans="1:6" x14ac:dyDescent="0.2">
      <c r="A2391" s="556" t="s">
        <v>731</v>
      </c>
      <c r="B2391" s="562" t="s">
        <v>262</v>
      </c>
      <c r="C2391" s="563">
        <v>1.4999999999999999E-2</v>
      </c>
      <c r="D2391" s="564">
        <f>C2391*D2375</f>
        <v>343390.39147499995</v>
      </c>
      <c r="E2391" s="560"/>
      <c r="F2391" s="561"/>
    </row>
    <row r="2392" spans="1:6" x14ac:dyDescent="0.2">
      <c r="A2392" s="556" t="s">
        <v>732</v>
      </c>
      <c r="B2392" s="562" t="s">
        <v>341</v>
      </c>
      <c r="C2392" s="563">
        <v>0.06</v>
      </c>
      <c r="D2392" s="564">
        <f>C2392*D2375</f>
        <v>1373561.5658999998</v>
      </c>
      <c r="E2392" s="565"/>
      <c r="F2392" s="561" t="s">
        <v>1077</v>
      </c>
    </row>
    <row r="2393" spans="1:6" x14ac:dyDescent="0.2">
      <c r="A2393" s="556" t="s">
        <v>734</v>
      </c>
      <c r="B2393" s="562" t="s">
        <v>432</v>
      </c>
      <c r="C2393" s="563">
        <v>0.09</v>
      </c>
      <c r="D2393" s="564">
        <f>C2393*D2375</f>
        <v>2060342.3488499997</v>
      </c>
      <c r="E2393" s="565"/>
      <c r="F2393" s="561" t="s">
        <v>1063</v>
      </c>
    </row>
    <row r="2394" spans="1:6" ht="30" x14ac:dyDescent="0.2">
      <c r="A2394" s="556" t="s">
        <v>858</v>
      </c>
      <c r="B2394" s="562" t="s">
        <v>100</v>
      </c>
      <c r="C2394" s="563">
        <v>0.05</v>
      </c>
      <c r="D2394" s="564">
        <f>C2394*D2375</f>
        <v>1144634.6382499998</v>
      </c>
      <c r="E2394" s="566"/>
      <c r="F2394" s="560"/>
    </row>
    <row r="2395" spans="1:6" x14ac:dyDescent="0.2">
      <c r="A2395" s="525">
        <v>7</v>
      </c>
      <c r="B2395" s="617" t="s">
        <v>859</v>
      </c>
      <c r="C2395" s="527"/>
      <c r="D2395" s="528">
        <f>SUM(D2396:D2396)</f>
        <v>3300000</v>
      </c>
      <c r="E2395" s="529"/>
      <c r="F2395" s="530"/>
    </row>
    <row r="2396" spans="1:6" x14ac:dyDescent="0.2">
      <c r="A2396" s="531" t="s">
        <v>860</v>
      </c>
      <c r="B2396" s="532" t="s">
        <v>1068</v>
      </c>
      <c r="C2396" s="533"/>
      <c r="D2396" s="534">
        <v>3300000</v>
      </c>
      <c r="E2396" s="535"/>
      <c r="F2396" s="536"/>
    </row>
    <row r="2397" spans="1:6" x14ac:dyDescent="0.2">
      <c r="A2397" s="550"/>
      <c r="B2397" s="567" t="s">
        <v>1048</v>
      </c>
      <c r="C2397" s="568">
        <f>SUM(C2376:C2396)</f>
        <v>0.79999999999999993</v>
      </c>
      <c r="D2397" s="569">
        <f>SUM(D2376:D2392,D2394)+D2393*0.35</f>
        <v>16974931.685247496</v>
      </c>
      <c r="E2397" s="570"/>
      <c r="F2397" s="554"/>
    </row>
    <row r="2398" spans="1:6" x14ac:dyDescent="0.2">
      <c r="A2398" s="550"/>
      <c r="B2398" s="567" t="s">
        <v>132</v>
      </c>
      <c r="C2398" s="568">
        <v>0.05</v>
      </c>
      <c r="D2398" s="569">
        <f>C2398*D2375</f>
        <v>1144634.6382499998</v>
      </c>
      <c r="E2398" s="570"/>
      <c r="F2398" s="554"/>
    </row>
    <row r="2399" spans="1:6" ht="28.5" x14ac:dyDescent="0.2">
      <c r="A2399" s="550"/>
      <c r="B2399" s="567" t="s">
        <v>308</v>
      </c>
      <c r="C2399" s="568">
        <f>D2399/D2352</f>
        <v>0.21193049035580544</v>
      </c>
      <c r="D2399" s="569">
        <f>D2352-D2353-D2354*0.35-SUM(D2360:D2369)-D2370*0.35-D2372*0.35-SUM(D2373:D2374)-D2395-D2397-D2398</f>
        <v>9703319.2065024972</v>
      </c>
      <c r="E2399" s="570"/>
      <c r="F2399" s="554"/>
    </row>
    <row r="2400" spans="1:6" ht="28.5" x14ac:dyDescent="0.2">
      <c r="A2400" s="571"/>
      <c r="B2400" s="572" t="s">
        <v>375</v>
      </c>
      <c r="C2400" s="573">
        <f>D2400/D2352</f>
        <v>0.23693049035580546</v>
      </c>
      <c r="D2400" s="574">
        <f>D2399+D2398</f>
        <v>10847953.844752498</v>
      </c>
      <c r="E2400" s="575"/>
      <c r="F2400" s="575"/>
    </row>
    <row r="2401" spans="1:11" ht="20.25" x14ac:dyDescent="0.2">
      <c r="A2401" s="907" t="s">
        <v>673</v>
      </c>
      <c r="B2401" s="908"/>
      <c r="C2401" s="908"/>
      <c r="D2401" s="908"/>
      <c r="E2401" s="908"/>
      <c r="F2401" s="909"/>
      <c r="G2401" s="250" t="s">
        <v>348</v>
      </c>
      <c r="H2401" s="250" t="s">
        <v>349</v>
      </c>
      <c r="I2401" s="250"/>
      <c r="J2401" s="251" t="s">
        <v>350</v>
      </c>
      <c r="K2401" s="180">
        <v>13201666.5</v>
      </c>
    </row>
    <row r="2402" spans="1:11" ht="60.75" customHeight="1" x14ac:dyDescent="0.2">
      <c r="A2402" s="804" t="s">
        <v>1078</v>
      </c>
      <c r="B2402" s="805"/>
      <c r="C2402" s="805"/>
      <c r="D2402" s="805"/>
      <c r="E2402" s="805"/>
      <c r="F2402" s="806"/>
      <c r="G2402" s="252">
        <v>0.1</v>
      </c>
      <c r="H2402" s="584">
        <f>D2403-D2403*G2402</f>
        <v>33254365.617000002</v>
      </c>
      <c r="I2402" s="584"/>
      <c r="J2402" s="253">
        <f>H2402-D2404-D2433-D2434</f>
        <v>7914963.1636799984</v>
      </c>
      <c r="K2402" s="180">
        <v>747083.75</v>
      </c>
    </row>
    <row r="2403" spans="1:11" ht="18.75" x14ac:dyDescent="0.2">
      <c r="A2403" s="173">
        <v>1</v>
      </c>
      <c r="B2403" s="254"/>
      <c r="C2403" s="175"/>
      <c r="D2403" s="798">
        <v>36949295.130000003</v>
      </c>
      <c r="E2403" s="799"/>
      <c r="F2403" s="934"/>
      <c r="G2403" s="252">
        <v>0.15</v>
      </c>
      <c r="H2403" s="584">
        <f>D2403-D2403*G2403</f>
        <v>31406900.8605</v>
      </c>
      <c r="I2403" s="584"/>
      <c r="J2403" s="253">
        <f>H2403-D2404-D2433-D2434</f>
        <v>6067498.4071799964</v>
      </c>
      <c r="K2403" s="180">
        <v>8209950</v>
      </c>
    </row>
    <row r="2404" spans="1:11" ht="18.75" x14ac:dyDescent="0.2">
      <c r="A2404" s="502" t="s">
        <v>1035</v>
      </c>
      <c r="B2404" s="503" t="s">
        <v>677</v>
      </c>
      <c r="C2404" s="504"/>
      <c r="D2404" s="505">
        <f>SUM(D2405:D2408)</f>
        <v>4500000</v>
      </c>
      <c r="E2404" s="506"/>
      <c r="F2404" s="600"/>
      <c r="G2404" s="252">
        <v>0.2</v>
      </c>
      <c r="H2404" s="584">
        <f>D2403-D2403*G2404</f>
        <v>29559436.104000002</v>
      </c>
      <c r="I2404" s="584"/>
      <c r="J2404" s="253">
        <f>H2404-D2404-D2433-D2434</f>
        <v>4220033.6506799981</v>
      </c>
      <c r="K2404" s="180">
        <v>4022875.5</v>
      </c>
    </row>
    <row r="2405" spans="1:11" ht="18.75" x14ac:dyDescent="0.2">
      <c r="A2405" s="508" t="s">
        <v>613</v>
      </c>
      <c r="B2405" s="509" t="s">
        <v>353</v>
      </c>
      <c r="C2405" s="510"/>
      <c r="D2405" s="511">
        <v>2000000</v>
      </c>
      <c r="E2405" s="512"/>
      <c r="F2405" s="513" t="s">
        <v>1079</v>
      </c>
      <c r="G2405" s="252">
        <v>0.25</v>
      </c>
      <c r="H2405" s="584">
        <f>D2403-D2403*G2405</f>
        <v>27711971.347500004</v>
      </c>
      <c r="I2405" s="584"/>
      <c r="J2405" s="253">
        <f>H2405-D2404-D2433-D2434</f>
        <v>2372568.8941799998</v>
      </c>
      <c r="K2405" s="180">
        <v>7306855.5</v>
      </c>
    </row>
    <row r="2406" spans="1:11" ht="18.75" x14ac:dyDescent="0.2">
      <c r="A2406" s="508" t="s">
        <v>615</v>
      </c>
      <c r="B2406" s="509" t="s">
        <v>681</v>
      </c>
      <c r="C2406" s="510"/>
      <c r="D2406" s="511">
        <v>500000</v>
      </c>
      <c r="E2406" s="512"/>
      <c r="F2406" s="513"/>
      <c r="G2406" s="252">
        <v>0.3</v>
      </c>
      <c r="H2406" s="584">
        <f>D2403-D2403*G2406</f>
        <v>25864506.591000002</v>
      </c>
      <c r="I2406" s="584"/>
      <c r="J2406" s="253">
        <f>H2406-D2404-D2433-D2434</f>
        <v>525104.13767999806</v>
      </c>
      <c r="K2406" s="180">
        <v>63863.88</v>
      </c>
    </row>
    <row r="2407" spans="1:11" x14ac:dyDescent="0.2">
      <c r="A2407" s="508" t="s">
        <v>617</v>
      </c>
      <c r="B2407" s="509" t="s">
        <v>745</v>
      </c>
      <c r="C2407" s="510"/>
      <c r="D2407" s="511">
        <v>1500000</v>
      </c>
      <c r="E2407" s="512"/>
      <c r="F2407" s="513"/>
      <c r="G2407" s="719"/>
      <c r="H2407" s="698"/>
      <c r="I2407" s="698"/>
      <c r="J2407" s="615"/>
      <c r="K2407" s="180">
        <v>3397000</v>
      </c>
    </row>
    <row r="2408" spans="1:11" x14ac:dyDescent="0.2">
      <c r="A2408" s="508" t="s">
        <v>619</v>
      </c>
      <c r="B2408" s="509" t="s">
        <v>746</v>
      </c>
      <c r="C2408" s="510"/>
      <c r="D2408" s="511">
        <v>500000</v>
      </c>
      <c r="E2408" s="512"/>
      <c r="F2408" s="513"/>
    </row>
    <row r="2409" spans="1:11" x14ac:dyDescent="0.2">
      <c r="A2409" s="720" t="s">
        <v>623</v>
      </c>
      <c r="B2409" s="260" t="s">
        <v>809</v>
      </c>
      <c r="C2409" s="715"/>
      <c r="D2409" s="716">
        <v>1800000</v>
      </c>
      <c r="E2409" s="177"/>
      <c r="F2409" s="178"/>
    </row>
    <row r="2410" spans="1:11" ht="43.5" x14ac:dyDescent="0.2">
      <c r="A2410" s="550" t="s">
        <v>625</v>
      </c>
      <c r="B2410" s="551" t="s">
        <v>354</v>
      </c>
      <c r="C2410" s="552">
        <v>0.6</v>
      </c>
      <c r="D2410" s="553">
        <f>D2403*C2410</f>
        <v>22169577.078000002</v>
      </c>
      <c r="E2410" s="554"/>
      <c r="F2410" s="555"/>
    </row>
    <row r="2411" spans="1:11" ht="30" x14ac:dyDescent="0.2">
      <c r="A2411" s="556" t="s">
        <v>687</v>
      </c>
      <c r="B2411" s="557" t="s">
        <v>748</v>
      </c>
      <c r="C2411" s="558">
        <v>0.08</v>
      </c>
      <c r="D2411" s="559">
        <f>C2411*D2410</f>
        <v>1773566.1662400002</v>
      </c>
      <c r="E2411" s="560"/>
      <c r="F2411" s="561"/>
    </row>
    <row r="2412" spans="1:11" x14ac:dyDescent="0.2">
      <c r="A2412" s="556" t="s">
        <v>689</v>
      </c>
      <c r="B2412" s="557" t="s">
        <v>355</v>
      </c>
      <c r="C2412" s="558">
        <v>0.04</v>
      </c>
      <c r="D2412" s="559">
        <f>C2412*D2410</f>
        <v>886783.08312000008</v>
      </c>
      <c r="E2412" s="560"/>
      <c r="F2412" s="561"/>
    </row>
    <row r="2413" spans="1:11" x14ac:dyDescent="0.2">
      <c r="A2413" s="556" t="s">
        <v>691</v>
      </c>
      <c r="B2413" s="557" t="s">
        <v>810</v>
      </c>
      <c r="C2413" s="558">
        <v>0.04</v>
      </c>
      <c r="D2413" s="559">
        <f>D2410*C2413</f>
        <v>886783.08312000008</v>
      </c>
      <c r="E2413" s="561"/>
      <c r="F2413" s="561"/>
    </row>
    <row r="2414" spans="1:11" x14ac:dyDescent="0.2">
      <c r="A2414" s="556" t="s">
        <v>702</v>
      </c>
      <c r="B2414" s="557" t="s">
        <v>20</v>
      </c>
      <c r="C2414" s="558">
        <v>0.02</v>
      </c>
      <c r="D2414" s="559">
        <f>C2414*D2410</f>
        <v>443391.54156000004</v>
      </c>
      <c r="E2414" s="560"/>
      <c r="F2414" s="561" t="s">
        <v>1080</v>
      </c>
    </row>
    <row r="2415" spans="1:11" x14ac:dyDescent="0.2">
      <c r="A2415" s="556" t="s">
        <v>704</v>
      </c>
      <c r="B2415" s="557" t="s">
        <v>267</v>
      </c>
      <c r="C2415" s="558">
        <v>0.08</v>
      </c>
      <c r="D2415" s="559">
        <f>D2410*C2415</f>
        <v>1773566.1662400002</v>
      </c>
      <c r="E2415" s="560"/>
      <c r="F2415" s="561"/>
      <c r="G2415" s="299"/>
    </row>
    <row r="2416" spans="1:11" x14ac:dyDescent="0.2">
      <c r="A2416" s="556" t="s">
        <v>751</v>
      </c>
      <c r="B2416" s="557" t="s">
        <v>256</v>
      </c>
      <c r="C2416" s="558">
        <v>0.1</v>
      </c>
      <c r="D2416" s="559">
        <f>C2416*D2410</f>
        <v>2216957.7078000004</v>
      </c>
      <c r="E2416" s="560"/>
      <c r="F2416" s="601"/>
      <c r="G2416" s="299"/>
    </row>
    <row r="2417" spans="1:7" x14ac:dyDescent="0.2">
      <c r="A2417" s="556" t="s">
        <v>752</v>
      </c>
      <c r="B2417" s="557" t="s">
        <v>319</v>
      </c>
      <c r="C2417" s="558">
        <v>0.06</v>
      </c>
      <c r="D2417" s="559">
        <f>C2417*D2410</f>
        <v>1330174.6246800001</v>
      </c>
      <c r="E2417" s="560"/>
      <c r="F2417" s="561"/>
      <c r="G2417" s="299"/>
    </row>
    <row r="2418" spans="1:7" x14ac:dyDescent="0.2">
      <c r="A2418" s="556" t="s">
        <v>753</v>
      </c>
      <c r="B2418" s="562" t="s">
        <v>754</v>
      </c>
      <c r="C2418" s="563">
        <v>6.5000000000000002E-2</v>
      </c>
      <c r="D2418" s="564">
        <f>D2410*C2418</f>
        <v>1441022.5100700001</v>
      </c>
      <c r="E2418" s="565"/>
      <c r="F2418" s="561"/>
      <c r="G2418" s="299"/>
    </row>
    <row r="2419" spans="1:7" x14ac:dyDescent="0.2">
      <c r="A2419" s="556" t="s">
        <v>755</v>
      </c>
      <c r="B2419" s="562" t="s">
        <v>323</v>
      </c>
      <c r="C2419" s="563">
        <v>0.08</v>
      </c>
      <c r="D2419" s="564">
        <f>D2410*C2419</f>
        <v>1773566.1662400002</v>
      </c>
      <c r="E2419" s="560"/>
      <c r="F2419" s="561"/>
      <c r="G2419" s="299"/>
    </row>
    <row r="2420" spans="1:7" x14ac:dyDescent="0.2">
      <c r="A2420" s="556" t="s">
        <v>756</v>
      </c>
      <c r="B2420" s="562" t="s">
        <v>642</v>
      </c>
      <c r="C2420" s="563">
        <v>0.05</v>
      </c>
      <c r="D2420" s="564">
        <f>C2420*D2410</f>
        <v>1108478.8539000002</v>
      </c>
      <c r="E2420" s="560"/>
      <c r="F2420" s="561"/>
      <c r="G2420" s="299"/>
    </row>
    <row r="2421" spans="1:7" x14ac:dyDescent="0.2">
      <c r="A2421" s="556" t="s">
        <v>757</v>
      </c>
      <c r="B2421" s="562" t="s">
        <v>812</v>
      </c>
      <c r="C2421" s="563">
        <v>4.4999999999999998E-2</v>
      </c>
      <c r="D2421" s="564">
        <f>C2421*D2410</f>
        <v>997630.96851000004</v>
      </c>
      <c r="E2421" s="560"/>
      <c r="F2421" s="561" t="s">
        <v>1081</v>
      </c>
      <c r="G2421" s="299"/>
    </row>
    <row r="2422" spans="1:7" x14ac:dyDescent="0.2">
      <c r="A2422" s="556" t="s">
        <v>758</v>
      </c>
      <c r="B2422" s="562" t="s">
        <v>259</v>
      </c>
      <c r="C2422" s="563">
        <v>0.02</v>
      </c>
      <c r="D2422" s="564">
        <f>C2422*D2410</f>
        <v>443391.54156000004</v>
      </c>
      <c r="E2422" s="560"/>
      <c r="F2422" s="561"/>
      <c r="G2422" s="299"/>
    </row>
    <row r="2423" spans="1:7" x14ac:dyDescent="0.2">
      <c r="A2423" s="556" t="s">
        <v>759</v>
      </c>
      <c r="B2423" s="562" t="s">
        <v>260</v>
      </c>
      <c r="C2423" s="563">
        <v>1.7500000000000002E-2</v>
      </c>
      <c r="D2423" s="564">
        <f>C2423*D2410</f>
        <v>387967.59886500007</v>
      </c>
      <c r="E2423" s="560"/>
      <c r="F2423" s="561" t="s">
        <v>1080</v>
      </c>
      <c r="G2423" s="299"/>
    </row>
    <row r="2424" spans="1:7" x14ac:dyDescent="0.2">
      <c r="A2424" s="556" t="s">
        <v>760</v>
      </c>
      <c r="B2424" s="562" t="s">
        <v>272</v>
      </c>
      <c r="C2424" s="563">
        <v>1.2500000000000001E-2</v>
      </c>
      <c r="D2424" s="564">
        <f>C2424*D2410</f>
        <v>277119.71347500006</v>
      </c>
      <c r="E2424" s="560"/>
      <c r="F2424" s="561" t="s">
        <v>1080</v>
      </c>
      <c r="G2424" s="299"/>
    </row>
    <row r="2425" spans="1:7" x14ac:dyDescent="0.2">
      <c r="A2425" s="556" t="s">
        <v>762</v>
      </c>
      <c r="B2425" s="562" t="s">
        <v>273</v>
      </c>
      <c r="C2425" s="563">
        <v>0.01</v>
      </c>
      <c r="D2425" s="564">
        <f>C2425*D2410</f>
        <v>221695.77078000002</v>
      </c>
      <c r="E2425" s="565"/>
      <c r="F2425" s="561" t="s">
        <v>1080</v>
      </c>
      <c r="G2425" s="299"/>
    </row>
    <row r="2426" spans="1:7" x14ac:dyDescent="0.2">
      <c r="A2426" s="556" t="s">
        <v>763</v>
      </c>
      <c r="B2426" s="562" t="s">
        <v>261</v>
      </c>
      <c r="C2426" s="563">
        <v>0.02</v>
      </c>
      <c r="D2426" s="564">
        <f>C2426*D2410</f>
        <v>443391.54156000004</v>
      </c>
      <c r="E2426" s="560"/>
      <c r="F2426" s="561"/>
      <c r="G2426" s="299"/>
    </row>
    <row r="2427" spans="1:7" x14ac:dyDescent="0.2">
      <c r="A2427" s="556" t="s">
        <v>764</v>
      </c>
      <c r="B2427" s="562" t="s">
        <v>262</v>
      </c>
      <c r="C2427" s="563">
        <v>0.01</v>
      </c>
      <c r="D2427" s="564">
        <f>C2427*D2410</f>
        <v>221695.77078000002</v>
      </c>
      <c r="E2427" s="560"/>
      <c r="F2427" s="561"/>
      <c r="G2427" s="299"/>
    </row>
    <row r="2428" spans="1:7" x14ac:dyDescent="0.2">
      <c r="A2428" s="556" t="s">
        <v>765</v>
      </c>
      <c r="B2428" s="562" t="s">
        <v>341</v>
      </c>
      <c r="C2428" s="563">
        <v>0.05</v>
      </c>
      <c r="D2428" s="564">
        <f>C2428*D2410</f>
        <v>1108478.8539000002</v>
      </c>
      <c r="E2428" s="565"/>
      <c r="F2428" s="561" t="s">
        <v>1080</v>
      </c>
      <c r="G2428" s="299"/>
    </row>
    <row r="2429" spans="1:7" ht="45" x14ac:dyDescent="0.2">
      <c r="A2429" s="556" t="s">
        <v>1082</v>
      </c>
      <c r="B2429" s="562" t="s">
        <v>1083</v>
      </c>
      <c r="C2429" s="563">
        <v>0.05</v>
      </c>
      <c r="D2429" s="564">
        <f>C2429*D2410</f>
        <v>1108478.8539000002</v>
      </c>
      <c r="E2429" s="566"/>
      <c r="F2429" s="560"/>
      <c r="G2429" s="299"/>
    </row>
    <row r="2430" spans="1:7" x14ac:dyDescent="0.2">
      <c r="A2430" s="556" t="s">
        <v>1084</v>
      </c>
      <c r="B2430" s="562" t="s">
        <v>532</v>
      </c>
      <c r="C2430" s="563">
        <v>0.04</v>
      </c>
      <c r="D2430" s="564">
        <f>C2430*D2410</f>
        <v>886783.08312000008</v>
      </c>
      <c r="E2430" s="566"/>
      <c r="F2430" s="561" t="s">
        <v>1080</v>
      </c>
      <c r="G2430" s="299"/>
    </row>
    <row r="2431" spans="1:7" x14ac:dyDescent="0.2">
      <c r="A2431" s="525">
        <v>5</v>
      </c>
      <c r="B2431" s="617" t="s">
        <v>859</v>
      </c>
      <c r="C2431" s="527"/>
      <c r="D2431" s="528">
        <f>D2432</f>
        <v>1500000</v>
      </c>
      <c r="E2431" s="529"/>
      <c r="F2431" s="530"/>
      <c r="G2431" s="299"/>
    </row>
    <row r="2432" spans="1:7" x14ac:dyDescent="0.2">
      <c r="A2432" s="531" t="s">
        <v>628</v>
      </c>
      <c r="B2432" s="532" t="s">
        <v>864</v>
      </c>
      <c r="C2432" s="533"/>
      <c r="D2432" s="534">
        <v>1500000</v>
      </c>
      <c r="E2432" s="535"/>
      <c r="F2432" s="536" t="s">
        <v>862</v>
      </c>
      <c r="G2432" s="299"/>
    </row>
    <row r="2433" spans="1:10" x14ac:dyDescent="0.2">
      <c r="A2433" s="550"/>
      <c r="B2433" s="567" t="s">
        <v>735</v>
      </c>
      <c r="C2433" s="568">
        <f>SUM(C2411:C2430)</f>
        <v>0.89000000000000012</v>
      </c>
      <c r="D2433" s="569">
        <f>SUM(D2411:D2430)</f>
        <v>19730923.599420004</v>
      </c>
      <c r="E2433" s="570"/>
      <c r="F2433" s="554"/>
    </row>
    <row r="2434" spans="1:10" x14ac:dyDescent="0.2">
      <c r="A2434" s="550"/>
      <c r="B2434" s="567" t="s">
        <v>132</v>
      </c>
      <c r="C2434" s="568">
        <v>0.05</v>
      </c>
      <c r="D2434" s="569">
        <f>C2434*D2410</f>
        <v>1108478.8539000002</v>
      </c>
      <c r="E2434" s="570"/>
      <c r="F2434" s="554"/>
    </row>
    <row r="2435" spans="1:10" ht="28.5" x14ac:dyDescent="0.2">
      <c r="A2435" s="550"/>
      <c r="B2435" s="567" t="s">
        <v>308</v>
      </c>
      <c r="C2435" s="568">
        <f>D2435/D2403</f>
        <v>0.22489989720894571</v>
      </c>
      <c r="D2435" s="569">
        <f>D2403-D2404-D2409-D2433-D2434-D2431</f>
        <v>8309892.6766799986</v>
      </c>
      <c r="E2435" s="570"/>
      <c r="F2435" s="554"/>
    </row>
    <row r="2436" spans="1:10" ht="28.5" x14ac:dyDescent="0.2">
      <c r="A2436" s="571"/>
      <c r="B2436" s="572" t="s">
        <v>375</v>
      </c>
      <c r="C2436" s="573">
        <f>D2436/D2403</f>
        <v>0.25489989720894574</v>
      </c>
      <c r="D2436" s="574">
        <f>D2435+D2434</f>
        <v>9418371.5305799991</v>
      </c>
      <c r="E2436" s="575"/>
      <c r="F2436" s="575"/>
    </row>
    <row r="2437" spans="1:10" ht="168.75" customHeight="1" x14ac:dyDescent="0.2">
      <c r="A2437" s="594"/>
      <c r="B2437" s="595" t="s">
        <v>546</v>
      </c>
      <c r="C2437" s="1006" t="s">
        <v>1085</v>
      </c>
      <c r="D2437" s="1007"/>
      <c r="E2437" s="1007"/>
      <c r="F2437" s="1008"/>
      <c r="G2437" s="587"/>
      <c r="H2437" s="592"/>
      <c r="I2437" s="592"/>
    </row>
    <row r="2438" spans="1:10" ht="27" customHeight="1" x14ac:dyDescent="0.2">
      <c r="A2438" s="907" t="s">
        <v>741</v>
      </c>
      <c r="B2438" s="908"/>
      <c r="C2438" s="908"/>
      <c r="D2438" s="908"/>
      <c r="E2438" s="908"/>
      <c r="F2438" s="909"/>
      <c r="G2438" s="587"/>
      <c r="H2438" s="592"/>
      <c r="I2438" s="592"/>
      <c r="J2438" s="180" t="s">
        <v>1086</v>
      </c>
    </row>
    <row r="2439" spans="1:10" ht="97.5" customHeight="1" x14ac:dyDescent="0.2">
      <c r="A2439" s="804" t="s">
        <v>1087</v>
      </c>
      <c r="B2439" s="805"/>
      <c r="C2439" s="805"/>
      <c r="D2439" s="805"/>
      <c r="E2439" s="805"/>
      <c r="F2439" s="806"/>
      <c r="G2439" s="250" t="s">
        <v>348</v>
      </c>
      <c r="H2439" s="250" t="s">
        <v>349</v>
      </c>
      <c r="I2439" s="250"/>
      <c r="J2439" s="251" t="s">
        <v>350</v>
      </c>
    </row>
    <row r="2440" spans="1:10" ht="27.75" customHeight="1" x14ac:dyDescent="0.2">
      <c r="A2440" s="173">
        <v>1</v>
      </c>
      <c r="B2440" s="254" t="s">
        <v>352</v>
      </c>
      <c r="C2440" s="175"/>
      <c r="D2440" s="798">
        <v>30052000</v>
      </c>
      <c r="E2440" s="799"/>
      <c r="F2440" s="800"/>
      <c r="G2440" s="252">
        <v>0.1</v>
      </c>
      <c r="H2440" s="584">
        <f>D2440-D2440*G2440</f>
        <v>27046800</v>
      </c>
      <c r="I2440" s="584"/>
      <c r="J2440" s="253">
        <f>H2440-D2441*0.35-SUM(D2446:D2457)-D2458*0.35-SUM(D2461:D2462)-D2460*0.35-D2487-D2484-D2488</f>
        <v>4922327</v>
      </c>
    </row>
    <row r="2441" spans="1:10" ht="18.75" x14ac:dyDescent="0.2">
      <c r="A2441" s="493" t="s">
        <v>1088</v>
      </c>
      <c r="B2441" s="494" t="s">
        <v>842</v>
      </c>
      <c r="C2441" s="495"/>
      <c r="D2441" s="496">
        <f>SUM(D2442:D2444)</f>
        <v>650000</v>
      </c>
      <c r="E2441" s="496"/>
      <c r="F2441" s="496"/>
      <c r="G2441" s="252">
        <v>0.15</v>
      </c>
      <c r="H2441" s="584">
        <f>D2440-D2440*G2441</f>
        <v>25544200</v>
      </c>
      <c r="I2441" s="584"/>
      <c r="J2441" s="253">
        <f>H2441-D2441*0.35-SUM(D2446:D2457)-D2458*0.35-SUM(D2461:D2462)-D2460*0.35-D2487-D2484-D2488</f>
        <v>3419727</v>
      </c>
    </row>
    <row r="2442" spans="1:10" ht="18.75" x14ac:dyDescent="0.2">
      <c r="A2442" s="497" t="s">
        <v>1089</v>
      </c>
      <c r="B2442" s="611" t="s">
        <v>688</v>
      </c>
      <c r="C2442" s="611"/>
      <c r="D2442" s="612">
        <v>200000</v>
      </c>
      <c r="E2442" s="501"/>
      <c r="F2442" s="419" t="s">
        <v>1090</v>
      </c>
      <c r="G2442" s="252">
        <v>0.2</v>
      </c>
      <c r="H2442" s="584">
        <f>D2440-D2440*G2442</f>
        <v>24041600</v>
      </c>
      <c r="I2442" s="584"/>
      <c r="J2442" s="253">
        <f>H2442-D2441*0.35-SUM(D2446:D2457)-D2458*0.35-SUM(D2461:D2462)-D2460*0.35-D2487-D2484-D2488</f>
        <v>1917127</v>
      </c>
    </row>
    <row r="2443" spans="1:10" ht="18.75" x14ac:dyDescent="0.2">
      <c r="A2443" s="497" t="s">
        <v>1091</v>
      </c>
      <c r="B2443" s="611" t="s">
        <v>690</v>
      </c>
      <c r="C2443" s="611"/>
      <c r="D2443" s="612">
        <v>200000</v>
      </c>
      <c r="E2443" s="501"/>
      <c r="F2443" s="419" t="s">
        <v>1090</v>
      </c>
      <c r="G2443" s="252">
        <v>0.25</v>
      </c>
      <c r="H2443" s="584">
        <f>D2440-D2440*G2443</f>
        <v>22539000</v>
      </c>
      <c r="I2443" s="584"/>
      <c r="J2443" s="253">
        <f>H2443-D2441*0.35-SUM(D2446:D2457)-D2458*0.35-SUM(D2461:D2462)-D2460*0.35-D2487-D2484-D2488</f>
        <v>414527</v>
      </c>
    </row>
    <row r="2444" spans="1:10" x14ac:dyDescent="0.2">
      <c r="A2444" s="497" t="s">
        <v>1092</v>
      </c>
      <c r="B2444" s="611" t="s">
        <v>692</v>
      </c>
      <c r="C2444" s="611"/>
      <c r="D2444" s="612">
        <v>250000</v>
      </c>
      <c r="E2444" s="501"/>
      <c r="F2444" s="419" t="s">
        <v>1090</v>
      </c>
      <c r="H2444" s="180"/>
      <c r="I2444" s="180"/>
    </row>
    <row r="2445" spans="1:10" x14ac:dyDescent="0.2">
      <c r="A2445" s="502" t="s">
        <v>1035</v>
      </c>
      <c r="B2445" s="503" t="s">
        <v>846</v>
      </c>
      <c r="C2445" s="504"/>
      <c r="D2445" s="505">
        <f>SUM(D2446:D2458)</f>
        <v>6315000</v>
      </c>
      <c r="E2445" s="506"/>
      <c r="F2445" s="507"/>
    </row>
    <row r="2446" spans="1:10" x14ac:dyDescent="0.2">
      <c r="A2446" s="1009" t="s">
        <v>613</v>
      </c>
      <c r="B2446" s="509" t="s">
        <v>694</v>
      </c>
      <c r="C2446" s="510"/>
      <c r="D2446" s="511">
        <v>350000</v>
      </c>
      <c r="E2446" s="512"/>
      <c r="F2446" s="513" t="s">
        <v>1093</v>
      </c>
      <c r="G2446" s="299"/>
    </row>
    <row r="2447" spans="1:10" x14ac:dyDescent="0.2">
      <c r="A2447" s="1010"/>
      <c r="B2447" s="509" t="s">
        <v>696</v>
      </c>
      <c r="C2447" s="510"/>
      <c r="D2447" s="511">
        <v>5000</v>
      </c>
      <c r="E2447" s="512"/>
      <c r="F2447" s="513"/>
      <c r="G2447" s="615"/>
    </row>
    <row r="2448" spans="1:10" x14ac:dyDescent="0.2">
      <c r="A2448" s="1011" t="s">
        <v>615</v>
      </c>
      <c r="B2448" s="509" t="s">
        <v>561</v>
      </c>
      <c r="C2448" s="721"/>
      <c r="D2448" s="712">
        <v>1000000</v>
      </c>
      <c r="E2448" s="512"/>
      <c r="F2448" s="513" t="s">
        <v>1094</v>
      </c>
    </row>
    <row r="2449" spans="1:6" x14ac:dyDescent="0.2">
      <c r="A2449" s="1012"/>
      <c r="B2449" s="509" t="s">
        <v>1095</v>
      </c>
      <c r="C2449" s="721"/>
      <c r="D2449" s="712">
        <v>600000</v>
      </c>
      <c r="E2449" s="512"/>
      <c r="F2449" s="513"/>
    </row>
    <row r="2450" spans="1:6" x14ac:dyDescent="0.2">
      <c r="A2450" s="1013"/>
      <c r="B2450" s="509" t="s">
        <v>697</v>
      </c>
      <c r="C2450" s="721"/>
      <c r="D2450" s="712">
        <v>250000</v>
      </c>
      <c r="E2450" s="512"/>
      <c r="F2450" s="513" t="s">
        <v>698</v>
      </c>
    </row>
    <row r="2451" spans="1:6" x14ac:dyDescent="0.2">
      <c r="A2451" s="722" t="s">
        <v>617</v>
      </c>
      <c r="B2451" s="509" t="s">
        <v>1096</v>
      </c>
      <c r="C2451" s="721"/>
      <c r="D2451" s="712">
        <v>1200000</v>
      </c>
      <c r="E2451" s="512"/>
      <c r="F2451" s="513"/>
    </row>
    <row r="2452" spans="1:6" x14ac:dyDescent="0.2">
      <c r="A2452" s="722" t="s">
        <v>619</v>
      </c>
      <c r="B2452" s="509" t="s">
        <v>703</v>
      </c>
      <c r="C2452" s="721"/>
      <c r="D2452" s="712">
        <v>800000</v>
      </c>
      <c r="E2452" s="512"/>
      <c r="F2452" s="513"/>
    </row>
    <row r="2453" spans="1:6" x14ac:dyDescent="0.2">
      <c r="A2453" s="722" t="s">
        <v>621</v>
      </c>
      <c r="B2453" s="509" t="s">
        <v>681</v>
      </c>
      <c r="C2453" s="721"/>
      <c r="D2453" s="712">
        <v>150000</v>
      </c>
      <c r="E2453" s="512"/>
      <c r="F2453" s="513"/>
    </row>
    <row r="2454" spans="1:6" x14ac:dyDescent="0.2">
      <c r="A2454" s="722" t="s">
        <v>881</v>
      </c>
      <c r="B2454" s="509" t="s">
        <v>353</v>
      </c>
      <c r="C2454" s="721"/>
      <c r="D2454" s="712">
        <v>1000000</v>
      </c>
      <c r="E2454" s="512"/>
      <c r="F2454" s="513"/>
    </row>
    <row r="2455" spans="1:6" x14ac:dyDescent="0.2">
      <c r="A2455" s="722" t="s">
        <v>1097</v>
      </c>
      <c r="B2455" s="509" t="s">
        <v>745</v>
      </c>
      <c r="C2455" s="721"/>
      <c r="D2455" s="712">
        <v>200000</v>
      </c>
      <c r="E2455" s="512"/>
      <c r="F2455" s="513"/>
    </row>
    <row r="2456" spans="1:6" x14ac:dyDescent="0.2">
      <c r="A2456" s="722" t="s">
        <v>1098</v>
      </c>
      <c r="B2456" s="509" t="s">
        <v>746</v>
      </c>
      <c r="C2456" s="721"/>
      <c r="D2456" s="712">
        <v>150000</v>
      </c>
      <c r="E2456" s="512"/>
      <c r="F2456" s="513"/>
    </row>
    <row r="2457" spans="1:6" x14ac:dyDescent="0.2">
      <c r="A2457" s="722" t="s">
        <v>1099</v>
      </c>
      <c r="B2457" s="509" t="s">
        <v>854</v>
      </c>
      <c r="C2457" s="721"/>
      <c r="D2457" s="712">
        <v>250000</v>
      </c>
      <c r="E2457" s="512"/>
      <c r="F2457" s="513"/>
    </row>
    <row r="2458" spans="1:6" x14ac:dyDescent="0.2">
      <c r="A2458" s="508" t="s">
        <v>1100</v>
      </c>
      <c r="B2458" s="509" t="s">
        <v>705</v>
      </c>
      <c r="C2458" s="510"/>
      <c r="D2458" s="511">
        <v>360000</v>
      </c>
      <c r="E2458" s="512"/>
      <c r="F2458" s="513" t="s">
        <v>1090</v>
      </c>
    </row>
    <row r="2459" spans="1:6" x14ac:dyDescent="0.2">
      <c r="A2459" s="538" t="s">
        <v>623</v>
      </c>
      <c r="B2459" s="539" t="s">
        <v>706</v>
      </c>
      <c r="C2459" s="540"/>
      <c r="D2459" s="541">
        <f>SUM(D2460:D2462)</f>
        <v>2200000</v>
      </c>
      <c r="E2459" s="542"/>
      <c r="F2459" s="543"/>
    </row>
    <row r="2460" spans="1:6" x14ac:dyDescent="0.2">
      <c r="A2460" s="544" t="s">
        <v>678</v>
      </c>
      <c r="B2460" s="545" t="s">
        <v>707</v>
      </c>
      <c r="C2460" s="546"/>
      <c r="D2460" s="547">
        <v>400000</v>
      </c>
      <c r="E2460" s="548"/>
      <c r="F2460" s="549" t="s">
        <v>113</v>
      </c>
    </row>
    <row r="2461" spans="1:6" x14ac:dyDescent="0.2">
      <c r="A2461" s="544" t="s">
        <v>680</v>
      </c>
      <c r="B2461" s="545" t="s">
        <v>563</v>
      </c>
      <c r="C2461" s="546"/>
      <c r="D2461" s="547">
        <v>800000</v>
      </c>
      <c r="E2461" s="548"/>
      <c r="F2461" s="549"/>
    </row>
    <row r="2462" spans="1:6" x14ac:dyDescent="0.2">
      <c r="A2462" s="544" t="s">
        <v>738</v>
      </c>
      <c r="B2462" s="545" t="s">
        <v>564</v>
      </c>
      <c r="C2462" s="546"/>
      <c r="D2462" s="547">
        <v>1000000</v>
      </c>
      <c r="E2462" s="548"/>
      <c r="F2462" s="549"/>
    </row>
    <row r="2463" spans="1:6" ht="29.25" x14ac:dyDescent="0.2">
      <c r="A2463" s="550" t="s">
        <v>655</v>
      </c>
      <c r="B2463" s="551" t="s">
        <v>1041</v>
      </c>
      <c r="C2463" s="552">
        <v>0.5</v>
      </c>
      <c r="D2463" s="553">
        <f>D2440*C2463</f>
        <v>15026000</v>
      </c>
      <c r="E2463" s="554"/>
      <c r="F2463" s="555"/>
    </row>
    <row r="2464" spans="1:6" x14ac:dyDescent="0.2">
      <c r="A2464" s="556" t="s">
        <v>709</v>
      </c>
      <c r="B2464" s="557" t="s">
        <v>855</v>
      </c>
      <c r="C2464" s="558">
        <v>0.1</v>
      </c>
      <c r="D2464" s="559">
        <f>C2464*D2463</f>
        <v>1502600</v>
      </c>
      <c r="E2464" s="560"/>
      <c r="F2464" s="561" t="s">
        <v>856</v>
      </c>
    </row>
    <row r="2465" spans="1:6" ht="30" x14ac:dyDescent="0.2">
      <c r="A2465" s="556" t="s">
        <v>711</v>
      </c>
      <c r="B2465" s="557" t="s">
        <v>712</v>
      </c>
      <c r="C2465" s="558">
        <v>0.08</v>
      </c>
      <c r="D2465" s="559">
        <f>D2463*C2465</f>
        <v>1202080</v>
      </c>
      <c r="E2465" s="561"/>
      <c r="F2465" s="561"/>
    </row>
    <row r="2466" spans="1:6" x14ac:dyDescent="0.2">
      <c r="A2466" s="556" t="s">
        <v>713</v>
      </c>
      <c r="B2466" s="557" t="s">
        <v>355</v>
      </c>
      <c r="C2466" s="558">
        <v>0.05</v>
      </c>
      <c r="D2466" s="559">
        <f>D2463*C2466</f>
        <v>751300</v>
      </c>
      <c r="E2466" s="561"/>
      <c r="F2466" s="561"/>
    </row>
    <row r="2467" spans="1:6" x14ac:dyDescent="0.2">
      <c r="A2467" s="556" t="s">
        <v>715</v>
      </c>
      <c r="B2467" s="557" t="s">
        <v>290</v>
      </c>
      <c r="C2467" s="558">
        <v>1.2500000000000001E-2</v>
      </c>
      <c r="D2467" s="559">
        <f>C2467*D2463</f>
        <v>187825</v>
      </c>
      <c r="E2467" s="560"/>
      <c r="F2467" s="561" t="s">
        <v>124</v>
      </c>
    </row>
    <row r="2468" spans="1:6" x14ac:dyDescent="0.2">
      <c r="A2468" s="556" t="s">
        <v>716</v>
      </c>
      <c r="B2468" s="557" t="s">
        <v>360</v>
      </c>
      <c r="C2468" s="558">
        <v>0.05</v>
      </c>
      <c r="D2468" s="559">
        <f>D2463*C2468</f>
        <v>751300</v>
      </c>
      <c r="E2468" s="560"/>
      <c r="F2468" s="561" t="s">
        <v>717</v>
      </c>
    </row>
    <row r="2469" spans="1:6" x14ac:dyDescent="0.2">
      <c r="A2469" s="556" t="s">
        <v>718</v>
      </c>
      <c r="B2469" s="557" t="s">
        <v>361</v>
      </c>
      <c r="C2469" s="558">
        <v>0.06</v>
      </c>
      <c r="D2469" s="559">
        <f>C2469*D2463</f>
        <v>901560</v>
      </c>
      <c r="E2469" s="560"/>
      <c r="F2469" s="561" t="s">
        <v>857</v>
      </c>
    </row>
    <row r="2470" spans="1:6" x14ac:dyDescent="0.2">
      <c r="A2470" s="556" t="s">
        <v>719</v>
      </c>
      <c r="B2470" s="557" t="s">
        <v>364</v>
      </c>
      <c r="C2470" s="558">
        <v>0.02</v>
      </c>
      <c r="D2470" s="559">
        <f>C2470*D2463</f>
        <v>300520</v>
      </c>
      <c r="E2470" s="560"/>
      <c r="F2470" s="561"/>
    </row>
    <row r="2471" spans="1:6" x14ac:dyDescent="0.2">
      <c r="A2471" s="556" t="s">
        <v>720</v>
      </c>
      <c r="B2471" s="562" t="s">
        <v>366</v>
      </c>
      <c r="C2471" s="563">
        <v>2.5000000000000001E-2</v>
      </c>
      <c r="D2471" s="564">
        <f>D2463*C2471</f>
        <v>375650</v>
      </c>
      <c r="E2471" s="565"/>
      <c r="F2471" s="561"/>
    </row>
    <row r="2472" spans="1:6" x14ac:dyDescent="0.2">
      <c r="A2472" s="556" t="s">
        <v>721</v>
      </c>
      <c r="B2472" s="562" t="s">
        <v>368</v>
      </c>
      <c r="C2472" s="563">
        <v>2.5000000000000001E-2</v>
      </c>
      <c r="D2472" s="564">
        <f>D2463*C2472</f>
        <v>375650</v>
      </c>
      <c r="E2472" s="560"/>
      <c r="F2472" s="561"/>
    </row>
    <row r="2473" spans="1:6" x14ac:dyDescent="0.2">
      <c r="A2473" s="556" t="s">
        <v>722</v>
      </c>
      <c r="B2473" s="562" t="s">
        <v>723</v>
      </c>
      <c r="C2473" s="563">
        <v>0.02</v>
      </c>
      <c r="D2473" s="564">
        <f>C2473*D2463</f>
        <v>300520</v>
      </c>
      <c r="E2473" s="560"/>
      <c r="F2473" s="561" t="s">
        <v>370</v>
      </c>
    </row>
    <row r="2474" spans="1:6" x14ac:dyDescent="0.2">
      <c r="A2474" s="556" t="s">
        <v>724</v>
      </c>
      <c r="B2474" s="562" t="s">
        <v>725</v>
      </c>
      <c r="C2474" s="563">
        <v>0.02</v>
      </c>
      <c r="D2474" s="564">
        <f>C2474*D2463</f>
        <v>300520</v>
      </c>
      <c r="E2474" s="560"/>
      <c r="F2474" s="561"/>
    </row>
    <row r="2475" spans="1:6" x14ac:dyDescent="0.2">
      <c r="A2475" s="556" t="s">
        <v>726</v>
      </c>
      <c r="B2475" s="562" t="s">
        <v>299</v>
      </c>
      <c r="C2475" s="563">
        <v>0.02</v>
      </c>
      <c r="D2475" s="564">
        <f>C2475*D2463</f>
        <v>300520</v>
      </c>
      <c r="E2475" s="560"/>
      <c r="F2475" s="561"/>
    </row>
    <row r="2476" spans="1:6" x14ac:dyDescent="0.2">
      <c r="A2476" s="556" t="s">
        <v>728</v>
      </c>
      <c r="B2476" s="562" t="s">
        <v>272</v>
      </c>
      <c r="C2476" s="563">
        <v>1.4999999999999999E-2</v>
      </c>
      <c r="D2476" s="564">
        <f>C2476*D2463</f>
        <v>225390</v>
      </c>
      <c r="E2476" s="560"/>
      <c r="F2476" s="561"/>
    </row>
    <row r="2477" spans="1:6" x14ac:dyDescent="0.2">
      <c r="A2477" s="556" t="s">
        <v>729</v>
      </c>
      <c r="B2477" s="562" t="s">
        <v>273</v>
      </c>
      <c r="C2477" s="563">
        <v>0.01</v>
      </c>
      <c r="D2477" s="564">
        <f>C2477*D2463</f>
        <v>150260</v>
      </c>
      <c r="E2477" s="565"/>
      <c r="F2477" s="561"/>
    </row>
    <row r="2478" spans="1:6" x14ac:dyDescent="0.2">
      <c r="A2478" s="556" t="s">
        <v>730</v>
      </c>
      <c r="B2478" s="562" t="s">
        <v>261</v>
      </c>
      <c r="C2478" s="563">
        <v>1.4999999999999999E-2</v>
      </c>
      <c r="D2478" s="564">
        <f>C2478*D2463</f>
        <v>225390</v>
      </c>
      <c r="E2478" s="560"/>
      <c r="F2478" s="561" t="s">
        <v>373</v>
      </c>
    </row>
    <row r="2479" spans="1:6" x14ac:dyDescent="0.2">
      <c r="A2479" s="556" t="s">
        <v>731</v>
      </c>
      <c r="B2479" s="562" t="s">
        <v>262</v>
      </c>
      <c r="C2479" s="563">
        <v>0.01</v>
      </c>
      <c r="D2479" s="564">
        <f>C2479*D2463</f>
        <v>150260</v>
      </c>
      <c r="E2479" s="560"/>
      <c r="F2479" s="561"/>
    </row>
    <row r="2480" spans="1:6" x14ac:dyDescent="0.2">
      <c r="A2480" s="556" t="s">
        <v>732</v>
      </c>
      <c r="B2480" s="562" t="s">
        <v>341</v>
      </c>
      <c r="C2480" s="563">
        <v>0.05</v>
      </c>
      <c r="D2480" s="564">
        <f>C2480*D2463</f>
        <v>751300</v>
      </c>
      <c r="E2480" s="565"/>
      <c r="F2480" s="561" t="s">
        <v>1101</v>
      </c>
    </row>
    <row r="2481" spans="1:6" x14ac:dyDescent="0.2">
      <c r="A2481" s="556" t="s">
        <v>734</v>
      </c>
      <c r="B2481" s="562" t="s">
        <v>432</v>
      </c>
      <c r="C2481" s="563">
        <v>4.4999999999999998E-2</v>
      </c>
      <c r="D2481" s="564">
        <f>C2481*D2463</f>
        <v>676170</v>
      </c>
      <c r="E2481" s="565"/>
      <c r="F2481" s="561" t="s">
        <v>1090</v>
      </c>
    </row>
    <row r="2482" spans="1:6" x14ac:dyDescent="0.2">
      <c r="A2482" s="556" t="s">
        <v>777</v>
      </c>
      <c r="B2482" s="562" t="s">
        <v>685</v>
      </c>
      <c r="C2482" s="563">
        <v>3.5000000000000003E-2</v>
      </c>
      <c r="D2482" s="564">
        <f>C2482*D2463</f>
        <v>525910</v>
      </c>
      <c r="E2482" s="565"/>
      <c r="F2482" s="561" t="s">
        <v>1090</v>
      </c>
    </row>
    <row r="2483" spans="1:6" ht="45" x14ac:dyDescent="0.2">
      <c r="A2483" s="556" t="s">
        <v>858</v>
      </c>
      <c r="B2483" s="562" t="s">
        <v>1083</v>
      </c>
      <c r="C2483" s="563">
        <v>0.05</v>
      </c>
      <c r="D2483" s="564">
        <f>C2483*D2463</f>
        <v>751300</v>
      </c>
      <c r="E2483" s="566"/>
      <c r="F2483" s="560"/>
    </row>
    <row r="2484" spans="1:6" x14ac:dyDescent="0.2">
      <c r="A2484" s="525">
        <v>7</v>
      </c>
      <c r="B2484" s="617" t="s">
        <v>859</v>
      </c>
      <c r="C2484" s="527"/>
      <c r="D2484" s="528">
        <f>SUM(D2485:D2486)</f>
        <v>3200000</v>
      </c>
      <c r="E2484" s="529"/>
      <c r="F2484" s="530"/>
    </row>
    <row r="2485" spans="1:6" x14ac:dyDescent="0.2">
      <c r="A2485" s="531" t="s">
        <v>860</v>
      </c>
      <c r="B2485" s="532" t="s">
        <v>1102</v>
      </c>
      <c r="C2485" s="533"/>
      <c r="D2485" s="534">
        <v>1700000</v>
      </c>
      <c r="E2485" s="535"/>
      <c r="F2485" s="536" t="s">
        <v>862</v>
      </c>
    </row>
    <row r="2486" spans="1:6" x14ac:dyDescent="0.2">
      <c r="A2486" s="531" t="s">
        <v>863</v>
      </c>
      <c r="B2486" s="532" t="s">
        <v>1103</v>
      </c>
      <c r="C2486" s="533"/>
      <c r="D2486" s="534">
        <v>1500000</v>
      </c>
      <c r="E2486" s="535"/>
      <c r="F2486" s="536" t="s">
        <v>862</v>
      </c>
    </row>
    <row r="2487" spans="1:6" x14ac:dyDescent="0.2">
      <c r="A2487" s="550"/>
      <c r="B2487" s="567" t="s">
        <v>1048</v>
      </c>
      <c r="C2487" s="568">
        <f>SUM(C2464:C2486)</f>
        <v>0.71250000000000024</v>
      </c>
      <c r="D2487" s="569">
        <f>SUM(D2464:D2480,D2483)+SUM(D2481:D2482)*0.35</f>
        <v>9924673</v>
      </c>
      <c r="E2487" s="570"/>
      <c r="F2487" s="554"/>
    </row>
    <row r="2488" spans="1:6" x14ac:dyDescent="0.2">
      <c r="A2488" s="550"/>
      <c r="B2488" s="567" t="s">
        <v>132</v>
      </c>
      <c r="C2488" s="568">
        <v>0.05</v>
      </c>
      <c r="D2488" s="569">
        <f>C2488*D2463</f>
        <v>751300</v>
      </c>
      <c r="E2488" s="570"/>
      <c r="F2488" s="554"/>
    </row>
    <row r="2489" spans="1:6" ht="28.5" x14ac:dyDescent="0.2">
      <c r="A2489" s="550"/>
      <c r="B2489" s="567" t="s">
        <v>308</v>
      </c>
      <c r="C2489" s="568">
        <f>D2489/D2440</f>
        <v>0.26379365766005591</v>
      </c>
      <c r="D2489" s="569">
        <f>D2440-D2441*0.35-SUM(D2446:D2457)-D2458*0.35-SUM(D2461:D2462)-D2460*0.35-D2487-D2484-D2488</f>
        <v>7927527</v>
      </c>
      <c r="E2489" s="570"/>
      <c r="F2489" s="554"/>
    </row>
    <row r="2490" spans="1:6" ht="28.5" x14ac:dyDescent="0.2">
      <c r="A2490" s="571"/>
      <c r="B2490" s="572" t="s">
        <v>375</v>
      </c>
      <c r="C2490" s="573">
        <f>D2490/D2440</f>
        <v>0.28879365766005588</v>
      </c>
      <c r="D2490" s="574">
        <f>D2489+D2488</f>
        <v>8678827</v>
      </c>
      <c r="E2490" s="575"/>
      <c r="F2490" s="575"/>
    </row>
    <row r="2491" spans="1:6" x14ac:dyDescent="0.2">
      <c r="A2491" s="267"/>
      <c r="B2491" s="174" t="s">
        <v>403</v>
      </c>
      <c r="C2491" s="585">
        <v>46107</v>
      </c>
      <c r="D2491" s="177"/>
      <c r="E2491" s="177"/>
      <c r="F2491" s="177"/>
    </row>
    <row r="2492" spans="1:6" ht="26.25" customHeight="1" x14ac:dyDescent="0.2">
      <c r="A2492" s="267"/>
      <c r="B2492" s="174" t="s">
        <v>569</v>
      </c>
      <c r="C2492" s="1014" t="s">
        <v>1104</v>
      </c>
      <c r="D2492" s="956"/>
      <c r="E2492" s="956"/>
      <c r="F2492" s="957"/>
    </row>
    <row r="2493" spans="1:6" ht="39" customHeight="1" x14ac:dyDescent="0.2">
      <c r="A2493" s="267"/>
      <c r="B2493" s="174" t="s">
        <v>784</v>
      </c>
      <c r="C2493" s="978" t="s">
        <v>1105</v>
      </c>
      <c r="D2493" s="956"/>
      <c r="E2493" s="956"/>
      <c r="F2493" s="957"/>
    </row>
    <row r="2494" spans="1:6" x14ac:dyDescent="0.2">
      <c r="A2494" s="267"/>
      <c r="B2494" s="174" t="s">
        <v>541</v>
      </c>
      <c r="C2494" s="994" t="s">
        <v>827</v>
      </c>
      <c r="D2494" s="995"/>
      <c r="E2494" s="995"/>
      <c r="F2494" s="996"/>
    </row>
    <row r="2495" spans="1:6" ht="49.5" customHeight="1" x14ac:dyDescent="0.2">
      <c r="A2495" s="723"/>
      <c r="B2495" s="440" t="s">
        <v>404</v>
      </c>
      <c r="C2495" s="973" t="s">
        <v>1106</v>
      </c>
      <c r="D2495" s="974"/>
      <c r="E2495" s="974"/>
      <c r="F2495" s="975"/>
    </row>
    <row r="2496" spans="1:6" ht="90" customHeight="1" x14ac:dyDescent="0.2">
      <c r="A2496" s="114"/>
      <c r="B2496" s="21" t="s">
        <v>1107</v>
      </c>
      <c r="C2496" s="997" t="s">
        <v>1108</v>
      </c>
      <c r="D2496" s="961"/>
      <c r="E2496" s="961"/>
      <c r="F2496" s="998"/>
    </row>
    <row r="2497" spans="1:11" x14ac:dyDescent="0.2">
      <c r="A2497" s="114"/>
      <c r="B2497" s="21" t="s">
        <v>528</v>
      </c>
      <c r="C2497" s="990">
        <v>6010400</v>
      </c>
      <c r="D2497" s="991"/>
      <c r="E2497" s="991"/>
      <c r="F2497" s="992"/>
    </row>
    <row r="2498" spans="1:11" x14ac:dyDescent="0.2">
      <c r="A2498" s="589"/>
      <c r="B2498" s="590" t="s">
        <v>875</v>
      </c>
      <c r="C2498" s="999">
        <v>0.01</v>
      </c>
      <c r="D2498" s="944"/>
      <c r="E2498" s="944"/>
      <c r="F2498" s="945"/>
    </row>
    <row r="2499" spans="1:11" x14ac:dyDescent="0.2">
      <c r="A2499" s="114"/>
      <c r="B2499" s="21" t="s">
        <v>1109</v>
      </c>
      <c r="C2499" s="990">
        <v>300520</v>
      </c>
      <c r="D2499" s="991"/>
      <c r="E2499" s="991"/>
      <c r="F2499" s="992"/>
    </row>
    <row r="2500" spans="1:11" x14ac:dyDescent="0.2">
      <c r="A2500" s="114"/>
      <c r="B2500" s="591" t="s">
        <v>790</v>
      </c>
      <c r="C2500" s="1000">
        <v>46728</v>
      </c>
      <c r="D2500" s="1001"/>
      <c r="E2500" s="1001"/>
      <c r="F2500" s="1002"/>
    </row>
    <row r="2501" spans="1:11" x14ac:dyDescent="0.2">
      <c r="A2501" s="593"/>
      <c r="B2501" s="591" t="s">
        <v>792</v>
      </c>
      <c r="C2501" s="1003">
        <v>0.2</v>
      </c>
      <c r="D2501" s="1004"/>
      <c r="E2501" s="1004"/>
      <c r="F2501" s="1005"/>
    </row>
    <row r="2502" spans="1:11" ht="275.25" customHeight="1" x14ac:dyDescent="0.2">
      <c r="A2502" s="594"/>
      <c r="B2502" s="595" t="s">
        <v>546</v>
      </c>
      <c r="C2502" s="987" t="s">
        <v>1110</v>
      </c>
      <c r="D2502" s="988"/>
      <c r="E2502" s="988"/>
      <c r="F2502" s="989"/>
    </row>
    <row r="2503" spans="1:11" ht="31.5" x14ac:dyDescent="0.2">
      <c r="A2503" s="114"/>
      <c r="B2503" s="596" t="s">
        <v>796</v>
      </c>
      <c r="C2503" s="990" t="s">
        <v>1111</v>
      </c>
      <c r="D2503" s="991"/>
      <c r="E2503" s="991"/>
      <c r="F2503" s="992"/>
    </row>
    <row r="2504" spans="1:11" ht="31.5" x14ac:dyDescent="0.2">
      <c r="A2504" s="593"/>
      <c r="B2504" s="597" t="s">
        <v>798</v>
      </c>
      <c r="C2504" s="990" t="s">
        <v>1112</v>
      </c>
      <c r="D2504" s="991"/>
      <c r="E2504" s="991"/>
      <c r="F2504" s="992"/>
    </row>
    <row r="2505" spans="1:11" ht="21.75" customHeight="1" x14ac:dyDescent="0.2">
      <c r="A2505" s="907" t="s">
        <v>474</v>
      </c>
      <c r="B2505" s="908"/>
      <c r="C2505" s="908"/>
      <c r="D2505" s="908"/>
      <c r="E2505" s="908"/>
      <c r="F2505" s="909"/>
    </row>
    <row r="2506" spans="1:11" ht="64.5" customHeight="1" x14ac:dyDescent="0.2">
      <c r="A2506" s="804" t="s">
        <v>1113</v>
      </c>
      <c r="B2506" s="805"/>
      <c r="C2506" s="805"/>
      <c r="D2506" s="805"/>
      <c r="E2506" s="805"/>
      <c r="F2506" s="806"/>
      <c r="G2506" s="250" t="s">
        <v>348</v>
      </c>
      <c r="H2506" s="250" t="s">
        <v>349</v>
      </c>
      <c r="I2506" s="250"/>
      <c r="J2506" s="251" t="s">
        <v>350</v>
      </c>
    </row>
    <row r="2507" spans="1:11" ht="18.75" x14ac:dyDescent="0.2">
      <c r="A2507" s="173">
        <v>1</v>
      </c>
      <c r="B2507" s="254" t="s">
        <v>352</v>
      </c>
      <c r="C2507" s="175"/>
      <c r="D2507" s="798">
        <v>2430000</v>
      </c>
      <c r="E2507" s="799"/>
      <c r="F2507" s="800"/>
      <c r="G2507" s="252">
        <v>0.05</v>
      </c>
      <c r="H2507" s="584">
        <f>D2507-D2507*G2507</f>
        <v>2308500</v>
      </c>
      <c r="I2507" s="584"/>
      <c r="J2507" s="253">
        <f>H2507-D2525</f>
        <v>402850</v>
      </c>
    </row>
    <row r="2508" spans="1:11" ht="18.75" x14ac:dyDescent="0.2">
      <c r="A2508" s="173">
        <v>2</v>
      </c>
      <c r="B2508" s="254" t="s">
        <v>980</v>
      </c>
      <c r="C2508" s="255"/>
      <c r="D2508" s="256">
        <v>250000</v>
      </c>
      <c r="E2508" s="177"/>
      <c r="F2508" s="178"/>
      <c r="G2508" s="252">
        <v>0.1</v>
      </c>
      <c r="H2508" s="584">
        <f>D2507-D2507*G2508</f>
        <v>2187000</v>
      </c>
      <c r="I2508" s="584"/>
      <c r="J2508" s="253">
        <f>H2508-D2525</f>
        <v>281350</v>
      </c>
    </row>
    <row r="2509" spans="1:11" ht="18.75" x14ac:dyDescent="0.2">
      <c r="A2509" s="173">
        <v>3</v>
      </c>
      <c r="B2509" s="254" t="s">
        <v>981</v>
      </c>
      <c r="C2509" s="255"/>
      <c r="D2509" s="256">
        <v>400000</v>
      </c>
      <c r="E2509" s="177"/>
      <c r="F2509" s="177"/>
      <c r="G2509" s="252">
        <v>0.15</v>
      </c>
      <c r="H2509" s="584">
        <f>D2507-D2507*G2509</f>
        <v>2065500</v>
      </c>
      <c r="I2509" s="584"/>
      <c r="J2509" s="253">
        <f>H2509-D2525</f>
        <v>159850</v>
      </c>
      <c r="K2509" s="299"/>
    </row>
    <row r="2510" spans="1:11" ht="31.5" x14ac:dyDescent="0.2">
      <c r="A2510" s="173">
        <v>5</v>
      </c>
      <c r="B2510" s="254" t="s">
        <v>1114</v>
      </c>
      <c r="C2510" s="255"/>
      <c r="D2510" s="256">
        <v>150000</v>
      </c>
      <c r="E2510" s="176"/>
      <c r="F2510" s="177" t="s">
        <v>1115</v>
      </c>
      <c r="G2510" s="252">
        <v>0.2</v>
      </c>
      <c r="H2510" s="584">
        <f>D2507-D2507*G2510</f>
        <v>1944000</v>
      </c>
      <c r="I2510" s="584"/>
      <c r="J2510" s="253">
        <f>H2510-D2525</f>
        <v>38350</v>
      </c>
    </row>
    <row r="2511" spans="1:11" ht="29.25" x14ac:dyDescent="0.2">
      <c r="A2511" s="173">
        <v>6</v>
      </c>
      <c r="B2511" s="257" t="s">
        <v>986</v>
      </c>
      <c r="C2511" s="258">
        <v>0.5</v>
      </c>
      <c r="D2511" s="259">
        <f>D2507*C2511</f>
        <v>1215000</v>
      </c>
      <c r="E2511" s="177"/>
      <c r="F2511" s="178"/>
      <c r="G2511" s="299"/>
    </row>
    <row r="2512" spans="1:11" x14ac:dyDescent="0.2">
      <c r="A2512" s="173">
        <v>7</v>
      </c>
      <c r="B2512" s="260" t="s">
        <v>355</v>
      </c>
      <c r="C2512" s="258">
        <v>0.04</v>
      </c>
      <c r="D2512" s="261">
        <f>C2512*D2511</f>
        <v>48600</v>
      </c>
      <c r="E2512" s="177"/>
      <c r="F2512" s="178"/>
    </row>
    <row r="2513" spans="1:6" x14ac:dyDescent="0.2">
      <c r="A2513" s="173">
        <v>8</v>
      </c>
      <c r="B2513" s="260" t="s">
        <v>356</v>
      </c>
      <c r="C2513" s="258">
        <v>0.05</v>
      </c>
      <c r="D2513" s="261">
        <f>D2511*C2513</f>
        <v>60750</v>
      </c>
      <c r="E2513" s="178"/>
      <c r="F2513" s="178"/>
    </row>
    <row r="2514" spans="1:6" x14ac:dyDescent="0.2">
      <c r="A2514" s="173">
        <v>9</v>
      </c>
      <c r="B2514" s="260" t="s">
        <v>357</v>
      </c>
      <c r="C2514" s="258">
        <v>0.1</v>
      </c>
      <c r="D2514" s="261">
        <f>D2511*C2514</f>
        <v>121500</v>
      </c>
      <c r="E2514" s="177"/>
      <c r="F2514" s="178"/>
    </row>
    <row r="2515" spans="1:6" ht="47.25" x14ac:dyDescent="0.2">
      <c r="A2515" s="724">
        <v>11</v>
      </c>
      <c r="B2515" s="725" t="s">
        <v>987</v>
      </c>
      <c r="C2515" s="726">
        <v>0.08</v>
      </c>
      <c r="D2515" s="727">
        <f>C2515*D2511</f>
        <v>97200</v>
      </c>
      <c r="E2515" s="728"/>
      <c r="F2515" s="729" t="s">
        <v>1116</v>
      </c>
    </row>
    <row r="2516" spans="1:6" x14ac:dyDescent="0.2">
      <c r="A2516" s="724">
        <v>12</v>
      </c>
      <c r="B2516" s="725" t="s">
        <v>292</v>
      </c>
      <c r="C2516" s="726">
        <v>0.1</v>
      </c>
      <c r="D2516" s="727">
        <f>C2516*D2511</f>
        <v>121500</v>
      </c>
      <c r="E2516" s="728"/>
      <c r="F2516" s="729" t="s">
        <v>1117</v>
      </c>
    </row>
    <row r="2517" spans="1:6" x14ac:dyDescent="0.2">
      <c r="A2517" s="724">
        <v>13</v>
      </c>
      <c r="B2517" s="725" t="s">
        <v>989</v>
      </c>
      <c r="C2517" s="726">
        <v>0.09</v>
      </c>
      <c r="D2517" s="727">
        <f>C2517*D2511</f>
        <v>109350</v>
      </c>
      <c r="E2517" s="728"/>
      <c r="F2517" s="729" t="s">
        <v>1118</v>
      </c>
    </row>
    <row r="2518" spans="1:6" x14ac:dyDescent="0.2">
      <c r="A2518" s="173">
        <v>14</v>
      </c>
      <c r="B2518" s="254" t="s">
        <v>294</v>
      </c>
      <c r="C2518" s="258">
        <v>0.02</v>
      </c>
      <c r="D2518" s="261">
        <f>C2518*D2511</f>
        <v>24300</v>
      </c>
      <c r="E2518" s="177"/>
      <c r="F2518" s="178" t="s">
        <v>1119</v>
      </c>
    </row>
    <row r="2519" spans="1:6" x14ac:dyDescent="0.2">
      <c r="A2519" s="173">
        <v>15</v>
      </c>
      <c r="B2519" s="254" t="s">
        <v>1120</v>
      </c>
      <c r="C2519" s="258">
        <v>0.02</v>
      </c>
      <c r="D2519" s="261">
        <f>C2519*D2511</f>
        <v>24300</v>
      </c>
      <c r="E2519" s="177"/>
      <c r="F2519" s="178" t="s">
        <v>1119</v>
      </c>
    </row>
    <row r="2520" spans="1:6" x14ac:dyDescent="0.2">
      <c r="A2520" s="173">
        <v>16</v>
      </c>
      <c r="B2520" s="254" t="s">
        <v>323</v>
      </c>
      <c r="C2520" s="263">
        <v>0.02</v>
      </c>
      <c r="D2520" s="256">
        <f>D2511*C2520</f>
        <v>24300</v>
      </c>
      <c r="E2520" s="177"/>
      <c r="F2520" s="178" t="s">
        <v>1119</v>
      </c>
    </row>
    <row r="2521" spans="1:6" x14ac:dyDescent="0.2">
      <c r="A2521" s="724">
        <v>17</v>
      </c>
      <c r="B2521" s="730" t="s">
        <v>991</v>
      </c>
      <c r="C2521" s="731">
        <v>0.09</v>
      </c>
      <c r="D2521" s="732">
        <f>C2521*D2511</f>
        <v>109350</v>
      </c>
      <c r="E2521" s="728"/>
      <c r="F2521" s="729" t="s">
        <v>1118</v>
      </c>
    </row>
    <row r="2522" spans="1:6" x14ac:dyDescent="0.2">
      <c r="A2522" s="724">
        <v>22</v>
      </c>
      <c r="B2522" s="730" t="s">
        <v>341</v>
      </c>
      <c r="C2522" s="731">
        <v>0.15</v>
      </c>
      <c r="D2522" s="732">
        <f>C2522*D2511</f>
        <v>182250</v>
      </c>
      <c r="E2522" s="733"/>
      <c r="F2522" s="729" t="s">
        <v>1118</v>
      </c>
    </row>
    <row r="2523" spans="1:6" ht="30" x14ac:dyDescent="0.2">
      <c r="A2523" s="173">
        <v>23</v>
      </c>
      <c r="B2523" s="254" t="s">
        <v>100</v>
      </c>
      <c r="C2523" s="263">
        <v>0.05</v>
      </c>
      <c r="D2523" s="256">
        <f>C2523*D2511</f>
        <v>60750</v>
      </c>
      <c r="E2523" s="187"/>
      <c r="F2523" s="177"/>
    </row>
    <row r="2524" spans="1:6" x14ac:dyDescent="0.2">
      <c r="A2524" s="173"/>
      <c r="B2524" s="264" t="s">
        <v>132</v>
      </c>
      <c r="C2524" s="265">
        <v>0.1</v>
      </c>
      <c r="D2524" s="256">
        <f>C2524*D2511</f>
        <v>121500</v>
      </c>
      <c r="E2524" s="187"/>
      <c r="F2524" s="177"/>
    </row>
    <row r="2525" spans="1:6" x14ac:dyDescent="0.2">
      <c r="A2525" s="173"/>
      <c r="B2525" s="264" t="s">
        <v>374</v>
      </c>
      <c r="C2525" s="265">
        <f>SUM(C2512:C2523)</f>
        <v>0.81</v>
      </c>
      <c r="D2525" s="266">
        <f>SUM(D2512:D2524)+SUM(D2508:D2510)</f>
        <v>1905650</v>
      </c>
      <c r="E2525" s="187"/>
      <c r="F2525" s="177"/>
    </row>
    <row r="2526" spans="1:6" ht="28.5" x14ac:dyDescent="0.2">
      <c r="A2526" s="267"/>
      <c r="B2526" s="264" t="s">
        <v>375</v>
      </c>
      <c r="C2526" s="699">
        <f>D2526/D2507</f>
        <v>0.2657818930041152</v>
      </c>
      <c r="D2526" s="700">
        <f>D2507-D2525+D2524</f>
        <v>645850</v>
      </c>
      <c r="E2526" s="433"/>
      <c r="F2526" s="433"/>
    </row>
    <row r="2527" spans="1:6" x14ac:dyDescent="0.2">
      <c r="A2527" s="267"/>
      <c r="B2527" s="174" t="s">
        <v>403</v>
      </c>
      <c r="C2527" s="585">
        <v>46100</v>
      </c>
      <c r="D2527" s="177"/>
      <c r="E2527" s="177"/>
      <c r="F2527" s="177"/>
    </row>
    <row r="2528" spans="1:6" ht="26.25" customHeight="1" x14ac:dyDescent="0.2">
      <c r="A2528" s="267"/>
      <c r="B2528" s="174" t="s">
        <v>569</v>
      </c>
      <c r="C2528" s="993" t="s">
        <v>1121</v>
      </c>
      <c r="D2528" s="956"/>
      <c r="E2528" s="956"/>
      <c r="F2528" s="957"/>
    </row>
    <row r="2529" spans="1:7" ht="39" customHeight="1" x14ac:dyDescent="0.2">
      <c r="A2529" s="267"/>
      <c r="B2529" s="174" t="s">
        <v>784</v>
      </c>
      <c r="C2529" s="978" t="s">
        <v>1122</v>
      </c>
      <c r="D2529" s="956"/>
      <c r="E2529" s="956"/>
      <c r="F2529" s="957"/>
    </row>
    <row r="2530" spans="1:7" x14ac:dyDescent="0.2">
      <c r="A2530" s="114"/>
      <c r="B2530" s="591" t="s">
        <v>790</v>
      </c>
      <c r="C2530" s="946">
        <v>46142</v>
      </c>
      <c r="D2530" s="947"/>
      <c r="E2530" s="947"/>
      <c r="F2530" s="948"/>
    </row>
    <row r="2531" spans="1:7" ht="129.75" customHeight="1" x14ac:dyDescent="0.2">
      <c r="A2531" s="708"/>
      <c r="B2531" s="709" t="s">
        <v>964</v>
      </c>
      <c r="C2531" s="979" t="s">
        <v>1123</v>
      </c>
      <c r="D2531" s="979"/>
      <c r="E2531" s="979"/>
      <c r="F2531" s="979"/>
    </row>
    <row r="2532" spans="1:7" ht="68.25" customHeight="1" x14ac:dyDescent="0.2">
      <c r="A2532" s="804" t="s">
        <v>1124</v>
      </c>
      <c r="B2532" s="805"/>
      <c r="C2532" s="805"/>
      <c r="D2532" s="805"/>
      <c r="E2532" s="805"/>
      <c r="F2532" s="806"/>
    </row>
    <row r="2533" spans="1:7" x14ac:dyDescent="0.2">
      <c r="A2533" s="173">
        <v>1</v>
      </c>
      <c r="B2533" s="254" t="s">
        <v>352</v>
      </c>
      <c r="C2533" s="175"/>
      <c r="D2533" s="798">
        <v>1174546</v>
      </c>
      <c r="E2533" s="799"/>
      <c r="F2533" s="800"/>
    </row>
    <row r="2534" spans="1:7" ht="29.25" x14ac:dyDescent="0.2">
      <c r="A2534" s="173">
        <v>2</v>
      </c>
      <c r="B2534" s="257" t="s">
        <v>394</v>
      </c>
      <c r="C2534" s="258">
        <v>0.6</v>
      </c>
      <c r="D2534" s="259">
        <f>D2533*C2534</f>
        <v>704727.6</v>
      </c>
      <c r="E2534" s="177"/>
      <c r="F2534" s="178"/>
    </row>
    <row r="2535" spans="1:7" x14ac:dyDescent="0.2">
      <c r="A2535" s="173">
        <v>3</v>
      </c>
      <c r="B2535" s="260" t="s">
        <v>355</v>
      </c>
      <c r="C2535" s="258">
        <v>0.05</v>
      </c>
      <c r="D2535" s="261">
        <f>C2535*D2534</f>
        <v>35236.379999999997</v>
      </c>
      <c r="E2535" s="177"/>
      <c r="F2535" s="178" t="s">
        <v>337</v>
      </c>
      <c r="G2535" s="180" t="s">
        <v>1125</v>
      </c>
    </row>
    <row r="2536" spans="1:7" x14ac:dyDescent="0.2">
      <c r="A2536" s="173">
        <v>4</v>
      </c>
      <c r="B2536" s="260" t="s">
        <v>356</v>
      </c>
      <c r="C2536" s="258">
        <v>0.06</v>
      </c>
      <c r="D2536" s="261">
        <f>D2534*C2536</f>
        <v>42283.655999999995</v>
      </c>
      <c r="E2536" s="178"/>
      <c r="F2536" s="178" t="s">
        <v>338</v>
      </c>
    </row>
    <row r="2537" spans="1:7" x14ac:dyDescent="0.2">
      <c r="A2537" s="173">
        <v>5</v>
      </c>
      <c r="B2537" s="260" t="s">
        <v>70</v>
      </c>
      <c r="C2537" s="258">
        <v>0.08</v>
      </c>
      <c r="D2537" s="261">
        <f>D2534*C2537</f>
        <v>56378.207999999999</v>
      </c>
      <c r="E2537" s="177"/>
      <c r="F2537" s="178" t="s">
        <v>131</v>
      </c>
    </row>
    <row r="2538" spans="1:7" x14ac:dyDescent="0.2">
      <c r="A2538" s="173">
        <v>6</v>
      </c>
      <c r="B2538" s="260" t="s">
        <v>1126</v>
      </c>
      <c r="C2538" s="258">
        <v>0.3</v>
      </c>
      <c r="D2538" s="261">
        <f>C2538*D2534</f>
        <v>211418.28</v>
      </c>
      <c r="E2538" s="177"/>
      <c r="F2538" s="178" t="s">
        <v>1127</v>
      </c>
    </row>
    <row r="2539" spans="1:7" ht="31.5" x14ac:dyDescent="0.2">
      <c r="A2539" s="173">
        <v>7</v>
      </c>
      <c r="B2539" s="254" t="s">
        <v>1128</v>
      </c>
      <c r="C2539" s="263">
        <v>0.1</v>
      </c>
      <c r="D2539" s="256">
        <f>C2539*D2534</f>
        <v>70472.759999999995</v>
      </c>
      <c r="E2539" s="177"/>
      <c r="F2539" s="276" t="s">
        <v>1129</v>
      </c>
    </row>
    <row r="2540" spans="1:7" hidden="1" x14ac:dyDescent="0.2">
      <c r="A2540" s="173">
        <v>8</v>
      </c>
      <c r="B2540" s="254"/>
      <c r="C2540" s="263">
        <v>0</v>
      </c>
      <c r="D2540" s="256">
        <f>C2540*D2534</f>
        <v>0</v>
      </c>
      <c r="E2540" s="177"/>
      <c r="F2540" s="178"/>
    </row>
    <row r="2541" spans="1:7" hidden="1" x14ac:dyDescent="0.2">
      <c r="A2541" s="173">
        <v>9</v>
      </c>
      <c r="B2541" s="254"/>
      <c r="C2541" s="263">
        <v>0</v>
      </c>
      <c r="D2541" s="256">
        <f>C2541*D2534</f>
        <v>0</v>
      </c>
      <c r="E2541" s="177"/>
      <c r="F2541" s="178"/>
    </row>
    <row r="2542" spans="1:7" x14ac:dyDescent="0.2">
      <c r="A2542" s="173">
        <v>10</v>
      </c>
      <c r="B2542" s="254" t="s">
        <v>651</v>
      </c>
      <c r="C2542" s="263">
        <v>0.03</v>
      </c>
      <c r="D2542" s="256">
        <f>C2542*D2534</f>
        <v>21141.827999999998</v>
      </c>
      <c r="E2542" s="177"/>
      <c r="F2542" s="178" t="s">
        <v>398</v>
      </c>
    </row>
    <row r="2543" spans="1:7" x14ac:dyDescent="0.2">
      <c r="A2543" s="173"/>
      <c r="B2543" s="264" t="s">
        <v>374</v>
      </c>
      <c r="C2543" s="265">
        <f>SUM(C2535:C2541)</f>
        <v>0.59</v>
      </c>
      <c r="D2543" s="266">
        <f>SUM(D2535:D2542)</f>
        <v>436931.11199999996</v>
      </c>
      <c r="E2543" s="187"/>
      <c r="F2543" s="177"/>
    </row>
    <row r="2544" spans="1:7" x14ac:dyDescent="0.2">
      <c r="A2544" s="173"/>
      <c r="B2544" s="264" t="s">
        <v>132</v>
      </c>
      <c r="C2544" s="265">
        <v>0.1</v>
      </c>
      <c r="D2544" s="256">
        <f>C2544*D2534</f>
        <v>70472.759999999995</v>
      </c>
      <c r="E2544" s="187"/>
      <c r="F2544" s="177"/>
    </row>
    <row r="2545" spans="1:10" x14ac:dyDescent="0.2">
      <c r="A2545" s="267"/>
      <c r="B2545" s="264" t="s">
        <v>594</v>
      </c>
      <c r="C2545" s="265">
        <f>D2545/D2533</f>
        <v>0.56800000000000006</v>
      </c>
      <c r="D2545" s="256">
        <f>D2533-D2543-D2544</f>
        <v>667142.12800000003</v>
      </c>
      <c r="E2545" s="177"/>
      <c r="F2545" s="177"/>
    </row>
    <row r="2546" spans="1:10" ht="28.5" x14ac:dyDescent="0.2">
      <c r="A2546" s="267"/>
      <c r="B2546" s="264" t="s">
        <v>375</v>
      </c>
      <c r="C2546" s="268" t="e">
        <f>D2546/D2533</f>
        <v>#VALUE!</v>
      </c>
      <c r="D2546" s="269" t="s">
        <v>1130</v>
      </c>
      <c r="E2546" s="177"/>
      <c r="F2546" s="177"/>
    </row>
    <row r="2547" spans="1:10" x14ac:dyDescent="0.2">
      <c r="A2547" s="281"/>
      <c r="B2547" s="281"/>
      <c r="C2547" s="281"/>
      <c r="D2547" s="281"/>
      <c r="E2547" s="282"/>
      <c r="F2547" s="281"/>
    </row>
    <row r="2548" spans="1:10" x14ac:dyDescent="0.2">
      <c r="A2548" s="281"/>
      <c r="B2548" s="283" t="s">
        <v>301</v>
      </c>
      <c r="C2548" s="284"/>
      <c r="D2548" s="281"/>
      <c r="E2548" s="282"/>
      <c r="F2548" s="281"/>
    </row>
    <row r="2549" spans="1:10" ht="146.25" customHeight="1" x14ac:dyDescent="0.2">
      <c r="A2549" s="281"/>
      <c r="B2549" s="281" t="s">
        <v>302</v>
      </c>
      <c r="C2549" s="801" t="s">
        <v>1131</v>
      </c>
      <c r="D2549" s="801"/>
      <c r="E2549" s="801"/>
      <c r="F2549" s="801"/>
    </row>
    <row r="2550" spans="1:10" x14ac:dyDescent="0.2">
      <c r="A2550" s="281"/>
      <c r="B2550" s="281" t="s">
        <v>303</v>
      </c>
      <c r="C2550" s="801"/>
      <c r="D2550" s="801"/>
      <c r="E2550" s="801"/>
      <c r="F2550" s="801"/>
    </row>
    <row r="2551" spans="1:10" ht="48" customHeight="1" x14ac:dyDescent="0.2">
      <c r="A2551" s="980" t="s">
        <v>1132</v>
      </c>
      <c r="B2551" s="981"/>
      <c r="C2551" s="981"/>
      <c r="D2551" s="981"/>
      <c r="E2551" s="982"/>
      <c r="F2551" s="983"/>
      <c r="G2551" s="250" t="s">
        <v>348</v>
      </c>
      <c r="H2551" s="250" t="s">
        <v>349</v>
      </c>
      <c r="I2551" s="250"/>
      <c r="J2551" s="251" t="s">
        <v>350</v>
      </c>
    </row>
    <row r="2552" spans="1:10" ht="18.75" x14ac:dyDescent="0.2">
      <c r="A2552" s="626">
        <v>1</v>
      </c>
      <c r="B2552" s="984" t="s">
        <v>880</v>
      </c>
      <c r="C2552" s="985"/>
      <c r="D2552" s="986">
        <v>25500000</v>
      </c>
      <c r="E2552" s="986"/>
      <c r="F2552" s="986"/>
      <c r="G2552" s="252">
        <v>0.05</v>
      </c>
      <c r="H2552" s="584">
        <f>D2552-D2552*G2552</f>
        <v>24225000</v>
      </c>
      <c r="I2552" s="584"/>
      <c r="J2552" s="618">
        <f>H2552-D2554-SUM(D2561:D2565)-D2589-SUM(D2591:D2594)</f>
        <v>7446750</v>
      </c>
    </row>
    <row r="2553" spans="1:10" ht="18.75" x14ac:dyDescent="0.2">
      <c r="A2553" s="626"/>
      <c r="B2553" s="627"/>
      <c r="C2553" s="628"/>
      <c r="D2553" s="629"/>
      <c r="E2553" s="629"/>
      <c r="F2553" s="630"/>
      <c r="G2553" s="252">
        <v>0.1</v>
      </c>
      <c r="H2553" s="584">
        <f>D2552-D2552*G2553</f>
        <v>22950000</v>
      </c>
      <c r="I2553" s="584"/>
      <c r="J2553" s="618">
        <f>H2553-D2554-SUM(D2561:D2565)-D2589-SUM(D2591:D2594)</f>
        <v>6171750</v>
      </c>
    </row>
    <row r="2554" spans="1:10" ht="18.75" x14ac:dyDescent="0.2">
      <c r="A2554" s="631">
        <v>2</v>
      </c>
      <c r="B2554" s="632" t="s">
        <v>8</v>
      </c>
      <c r="C2554" s="633"/>
      <c r="D2554" s="634">
        <f>SUM(D2555:D2560)</f>
        <v>1500000</v>
      </c>
      <c r="E2554" s="634"/>
      <c r="F2554" s="635"/>
      <c r="G2554" s="252"/>
      <c r="H2554" s="584"/>
      <c r="I2554" s="584"/>
      <c r="J2554" s="253"/>
    </row>
    <row r="2555" spans="1:10" x14ac:dyDescent="0.2">
      <c r="A2555" s="636" t="s">
        <v>613</v>
      </c>
      <c r="B2555" s="637" t="s">
        <v>614</v>
      </c>
      <c r="C2555" s="638"/>
      <c r="D2555" s="639">
        <v>500000</v>
      </c>
      <c r="E2555" s="639"/>
      <c r="F2555" s="640"/>
      <c r="G2555" s="299"/>
      <c r="H2555" s="641"/>
      <c r="I2555" s="641"/>
      <c r="J2555" s="299"/>
    </row>
    <row r="2556" spans="1:10" x14ac:dyDescent="0.2">
      <c r="A2556" s="636" t="s">
        <v>615</v>
      </c>
      <c r="B2556" s="637" t="s">
        <v>489</v>
      </c>
      <c r="C2556" s="638"/>
      <c r="D2556" s="639">
        <v>250000</v>
      </c>
      <c r="E2556" s="639"/>
      <c r="F2556" s="640"/>
      <c r="G2556" s="299"/>
      <c r="H2556" s="641"/>
      <c r="I2556" s="641"/>
      <c r="J2556" s="299"/>
    </row>
    <row r="2557" spans="1:10" x14ac:dyDescent="0.2">
      <c r="A2557" s="636" t="s">
        <v>617</v>
      </c>
      <c r="B2557" s="637" t="s">
        <v>618</v>
      </c>
      <c r="C2557" s="638"/>
      <c r="D2557" s="639">
        <v>500000</v>
      </c>
      <c r="E2557" s="639"/>
      <c r="F2557" s="640"/>
      <c r="G2557" s="299"/>
      <c r="H2557" s="641"/>
      <c r="I2557" s="641"/>
      <c r="J2557" s="299"/>
    </row>
    <row r="2558" spans="1:10" ht="30" x14ac:dyDescent="0.2">
      <c r="A2558" s="636" t="s">
        <v>619</v>
      </c>
      <c r="B2558" s="637" t="s">
        <v>620</v>
      </c>
      <c r="C2558" s="638"/>
      <c r="D2558" s="639">
        <v>250000</v>
      </c>
      <c r="E2558" s="639"/>
      <c r="F2558" s="640"/>
      <c r="G2558" s="299"/>
      <c r="H2558" s="641"/>
      <c r="I2558" s="641"/>
      <c r="J2558" s="299"/>
    </row>
    <row r="2559" spans="1:10" x14ac:dyDescent="0.2">
      <c r="A2559" s="636" t="s">
        <v>621</v>
      </c>
      <c r="B2559" s="637"/>
      <c r="C2559" s="638"/>
      <c r="D2559" s="639">
        <v>0</v>
      </c>
      <c r="E2559" s="639"/>
      <c r="F2559" s="640"/>
      <c r="G2559" s="299"/>
      <c r="H2559" s="641"/>
      <c r="I2559" s="641"/>
      <c r="J2559" s="299"/>
    </row>
    <row r="2560" spans="1:10" x14ac:dyDescent="0.2">
      <c r="A2560" s="636" t="s">
        <v>881</v>
      </c>
      <c r="B2560" s="637"/>
      <c r="C2560" s="638"/>
      <c r="D2560" s="639">
        <v>0</v>
      </c>
      <c r="E2560" s="639"/>
      <c r="F2560" s="640"/>
      <c r="G2560" s="299"/>
      <c r="H2560" s="641"/>
      <c r="I2560" s="641"/>
      <c r="J2560" s="299"/>
    </row>
    <row r="2561" spans="1:6" x14ac:dyDescent="0.2">
      <c r="A2561" s="642" t="s">
        <v>623</v>
      </c>
      <c r="B2561" s="643" t="s">
        <v>864</v>
      </c>
      <c r="C2561" s="628"/>
      <c r="D2561" s="629">
        <v>2000000</v>
      </c>
      <c r="E2561" s="629"/>
      <c r="F2561" s="630"/>
    </row>
    <row r="2562" spans="1:6" x14ac:dyDescent="0.2">
      <c r="A2562" s="642" t="s">
        <v>625</v>
      </c>
      <c r="B2562" s="643" t="s">
        <v>1133</v>
      </c>
      <c r="C2562" s="628"/>
      <c r="D2562" s="629">
        <v>1000000</v>
      </c>
      <c r="E2562" s="629"/>
      <c r="F2562" s="630"/>
    </row>
    <row r="2563" spans="1:6" x14ac:dyDescent="0.2">
      <c r="A2563" s="642" t="s">
        <v>627</v>
      </c>
      <c r="B2563" s="643"/>
      <c r="C2563" s="628"/>
      <c r="D2563" s="629">
        <v>0</v>
      </c>
      <c r="E2563" s="629"/>
      <c r="F2563" s="630"/>
    </row>
    <row r="2564" spans="1:6" x14ac:dyDescent="0.2">
      <c r="A2564" s="642" t="s">
        <v>655</v>
      </c>
      <c r="B2564" s="643"/>
      <c r="C2564" s="628"/>
      <c r="D2564" s="629">
        <v>0</v>
      </c>
      <c r="E2564" s="629"/>
      <c r="F2564" s="630"/>
    </row>
    <row r="2565" spans="1:6" x14ac:dyDescent="0.2">
      <c r="A2565" s="642" t="s">
        <v>657</v>
      </c>
      <c r="B2565" s="643"/>
      <c r="C2565" s="628"/>
      <c r="D2565" s="629">
        <v>0</v>
      </c>
      <c r="E2565" s="629"/>
      <c r="F2565" s="630"/>
    </row>
    <row r="2566" spans="1:6" x14ac:dyDescent="0.2">
      <c r="A2566" s="644" t="s">
        <v>658</v>
      </c>
      <c r="B2566" s="645" t="s">
        <v>289</v>
      </c>
      <c r="C2566" s="646">
        <v>0.4</v>
      </c>
      <c r="D2566" s="647">
        <f>D2552*C2566</f>
        <v>10200000</v>
      </c>
      <c r="E2566" s="648"/>
      <c r="F2566" s="649"/>
    </row>
    <row r="2567" spans="1:6" x14ac:dyDescent="0.2">
      <c r="A2567" s="650" t="s">
        <v>888</v>
      </c>
      <c r="B2567" s="651" t="s">
        <v>336</v>
      </c>
      <c r="C2567" s="652">
        <v>2.5000000000000001E-2</v>
      </c>
      <c r="D2567" s="653">
        <f>C2567*D2566</f>
        <v>255000</v>
      </c>
      <c r="E2567" s="654"/>
      <c r="F2567" s="655"/>
    </row>
    <row r="2568" spans="1:6" x14ac:dyDescent="0.2">
      <c r="A2568" s="656" t="s">
        <v>889</v>
      </c>
      <c r="B2568" s="651" t="s">
        <v>357</v>
      </c>
      <c r="C2568" s="652">
        <v>0.1</v>
      </c>
      <c r="D2568" s="657">
        <f>D2566*C2568</f>
        <v>1020000</v>
      </c>
      <c r="E2568" s="658"/>
      <c r="F2568" s="659"/>
    </row>
    <row r="2569" spans="1:6" x14ac:dyDescent="0.2">
      <c r="A2569" s="650" t="s">
        <v>890</v>
      </c>
      <c r="B2569" s="651" t="s">
        <v>631</v>
      </c>
      <c r="C2569" s="652">
        <v>7.0000000000000007E-2</v>
      </c>
      <c r="D2569" s="657">
        <f>C2569*D2566</f>
        <v>714000.00000000012</v>
      </c>
      <c r="E2569" s="660"/>
      <c r="F2569" s="661"/>
    </row>
    <row r="2570" spans="1:6" x14ac:dyDescent="0.2">
      <c r="A2570" s="650" t="s">
        <v>891</v>
      </c>
      <c r="B2570" s="651" t="s">
        <v>633</v>
      </c>
      <c r="C2570" s="662">
        <v>2.5000000000000001E-2</v>
      </c>
      <c r="D2570" s="663">
        <f>D2566*C2570</f>
        <v>255000</v>
      </c>
      <c r="E2570" s="664"/>
      <c r="F2570" s="665"/>
    </row>
    <row r="2571" spans="1:6" x14ac:dyDescent="0.2">
      <c r="A2571" s="656" t="s">
        <v>892</v>
      </c>
      <c r="B2571" s="651" t="s">
        <v>20</v>
      </c>
      <c r="C2571" s="662">
        <v>1.2500000000000001E-2</v>
      </c>
      <c r="D2571" s="663">
        <f>D2566*C2571</f>
        <v>127500</v>
      </c>
      <c r="E2571" s="664"/>
      <c r="F2571" s="665"/>
    </row>
    <row r="2572" spans="1:6" x14ac:dyDescent="0.2">
      <c r="A2572" s="650" t="s">
        <v>893</v>
      </c>
      <c r="B2572" s="651" t="s">
        <v>267</v>
      </c>
      <c r="C2572" s="662">
        <v>0.09</v>
      </c>
      <c r="D2572" s="663">
        <f>D2566*C2572</f>
        <v>918000</v>
      </c>
      <c r="E2572" s="664"/>
      <c r="F2572" s="665"/>
    </row>
    <row r="2573" spans="1:6" x14ac:dyDescent="0.2">
      <c r="A2573" s="650" t="s">
        <v>894</v>
      </c>
      <c r="B2573" s="651" t="s">
        <v>256</v>
      </c>
      <c r="C2573" s="662">
        <v>0.09</v>
      </c>
      <c r="D2573" s="663">
        <f>D2566*C2573</f>
        <v>918000</v>
      </c>
      <c r="E2573" s="664"/>
      <c r="F2573" s="665"/>
    </row>
    <row r="2574" spans="1:6" x14ac:dyDescent="0.2">
      <c r="A2574" s="656" t="s">
        <v>895</v>
      </c>
      <c r="B2574" s="651" t="s">
        <v>319</v>
      </c>
      <c r="C2574" s="662">
        <v>0.06</v>
      </c>
      <c r="D2574" s="663">
        <f>D2566*C2574</f>
        <v>612000</v>
      </c>
      <c r="E2574" s="664"/>
      <c r="F2574" s="665"/>
    </row>
    <row r="2575" spans="1:6" x14ac:dyDescent="0.2">
      <c r="A2575" s="650" t="s">
        <v>896</v>
      </c>
      <c r="B2575" s="651" t="s">
        <v>294</v>
      </c>
      <c r="C2575" s="662">
        <v>0.04</v>
      </c>
      <c r="D2575" s="663">
        <f>D2566*C2575</f>
        <v>408000</v>
      </c>
      <c r="E2575" s="664"/>
      <c r="F2575" s="665"/>
    </row>
    <row r="2576" spans="1:6" x14ac:dyDescent="0.2">
      <c r="A2576" s="650" t="s">
        <v>897</v>
      </c>
      <c r="B2576" s="651" t="s">
        <v>322</v>
      </c>
      <c r="C2576" s="662">
        <v>0.04</v>
      </c>
      <c r="D2576" s="663">
        <f>D2566*C2576</f>
        <v>408000</v>
      </c>
      <c r="E2576" s="664"/>
      <c r="F2576" s="665"/>
    </row>
    <row r="2577" spans="1:6" x14ac:dyDescent="0.2">
      <c r="A2577" s="656" t="s">
        <v>898</v>
      </c>
      <c r="B2577" s="651" t="s">
        <v>323</v>
      </c>
      <c r="C2577" s="662">
        <v>5.5E-2</v>
      </c>
      <c r="D2577" s="663">
        <f>D2566*C2577</f>
        <v>561000</v>
      </c>
      <c r="E2577" s="664"/>
      <c r="F2577" s="665"/>
    </row>
    <row r="2578" spans="1:6" x14ac:dyDescent="0.2">
      <c r="A2578" s="650" t="s">
        <v>899</v>
      </c>
      <c r="B2578" s="651" t="s">
        <v>642</v>
      </c>
      <c r="C2578" s="662">
        <v>7.0000000000000007E-2</v>
      </c>
      <c r="D2578" s="663">
        <f>D2566*C2578</f>
        <v>714000.00000000012</v>
      </c>
      <c r="E2578" s="664"/>
      <c r="F2578" s="665"/>
    </row>
    <row r="2579" spans="1:6" x14ac:dyDescent="0.2">
      <c r="A2579" s="650" t="s">
        <v>900</v>
      </c>
      <c r="B2579" s="651" t="s">
        <v>259</v>
      </c>
      <c r="C2579" s="662">
        <v>0.03</v>
      </c>
      <c r="D2579" s="663">
        <f>D2566*C2579</f>
        <v>306000</v>
      </c>
      <c r="E2579" s="664"/>
      <c r="F2579" s="665"/>
    </row>
    <row r="2580" spans="1:6" x14ac:dyDescent="0.2">
      <c r="A2580" s="656" t="s">
        <v>901</v>
      </c>
      <c r="B2580" s="651" t="s">
        <v>540</v>
      </c>
      <c r="C2580" s="662">
        <v>0.02</v>
      </c>
      <c r="D2580" s="663">
        <f>D2566*C2580</f>
        <v>204000</v>
      </c>
      <c r="E2580" s="664"/>
      <c r="F2580" s="665"/>
    </row>
    <row r="2581" spans="1:6" x14ac:dyDescent="0.2">
      <c r="A2581" s="650" t="s">
        <v>902</v>
      </c>
      <c r="B2581" s="651" t="s">
        <v>272</v>
      </c>
      <c r="C2581" s="662">
        <v>0.01</v>
      </c>
      <c r="D2581" s="663">
        <f>D2566*C2581</f>
        <v>102000</v>
      </c>
      <c r="E2581" s="664"/>
      <c r="F2581" s="665"/>
    </row>
    <row r="2582" spans="1:6" x14ac:dyDescent="0.2">
      <c r="A2582" s="650" t="s">
        <v>903</v>
      </c>
      <c r="B2582" s="651" t="s">
        <v>261</v>
      </c>
      <c r="C2582" s="662">
        <v>1.4999999999999999E-2</v>
      </c>
      <c r="D2582" s="663">
        <f>D2566*C2582</f>
        <v>153000</v>
      </c>
      <c r="E2582" s="664"/>
      <c r="F2582" s="665" t="s">
        <v>904</v>
      </c>
    </row>
    <row r="2583" spans="1:6" x14ac:dyDescent="0.2">
      <c r="A2583" s="656" t="s">
        <v>905</v>
      </c>
      <c r="B2583" s="651" t="s">
        <v>273</v>
      </c>
      <c r="C2583" s="662">
        <v>5.0000000000000001E-3</v>
      </c>
      <c r="D2583" s="663">
        <f>D2566*C2583</f>
        <v>51000</v>
      </c>
      <c r="E2583" s="664"/>
      <c r="F2583" s="665"/>
    </row>
    <row r="2584" spans="1:6" x14ac:dyDescent="0.2">
      <c r="A2584" s="650" t="s">
        <v>906</v>
      </c>
      <c r="B2584" s="651" t="s">
        <v>262</v>
      </c>
      <c r="C2584" s="662">
        <v>5.0000000000000001E-3</v>
      </c>
      <c r="D2584" s="663">
        <f>D2566*C2584</f>
        <v>51000</v>
      </c>
      <c r="E2584" s="664"/>
      <c r="F2584" s="665"/>
    </row>
    <row r="2585" spans="1:6" x14ac:dyDescent="0.2">
      <c r="A2585" s="650" t="s">
        <v>907</v>
      </c>
      <c r="B2585" s="651" t="s">
        <v>341</v>
      </c>
      <c r="C2585" s="662">
        <v>0.06</v>
      </c>
      <c r="D2585" s="663">
        <f>D2566*C2585</f>
        <v>612000</v>
      </c>
      <c r="E2585" s="664"/>
      <c r="F2585" s="665"/>
    </row>
    <row r="2586" spans="1:6" x14ac:dyDescent="0.2">
      <c r="A2586" s="656" t="s">
        <v>908</v>
      </c>
      <c r="B2586" s="651"/>
      <c r="C2586" s="662">
        <v>0</v>
      </c>
      <c r="D2586" s="663">
        <f>C2586*D2566</f>
        <v>0</v>
      </c>
      <c r="E2586" s="664"/>
      <c r="F2586" s="665"/>
    </row>
    <row r="2587" spans="1:6" x14ac:dyDescent="0.2">
      <c r="A2587" s="650" t="s">
        <v>909</v>
      </c>
      <c r="B2587" s="651"/>
      <c r="C2587" s="662">
        <v>0</v>
      </c>
      <c r="D2587" s="663">
        <f>C2587*D2566</f>
        <v>0</v>
      </c>
      <c r="E2587" s="664"/>
      <c r="F2587" s="665"/>
    </row>
    <row r="2588" spans="1:6" x14ac:dyDescent="0.2">
      <c r="A2588" s="650" t="s">
        <v>911</v>
      </c>
      <c r="B2588" s="651" t="s">
        <v>651</v>
      </c>
      <c r="C2588" s="662">
        <v>2.5000000000000001E-3</v>
      </c>
      <c r="D2588" s="663">
        <f>C2588*D2552</f>
        <v>63750</v>
      </c>
      <c r="E2588" s="664"/>
      <c r="F2588" s="665"/>
    </row>
    <row r="2589" spans="1:6" x14ac:dyDescent="0.2">
      <c r="A2589" s="666"/>
      <c r="B2589" s="645" t="s">
        <v>654</v>
      </c>
      <c r="C2589" s="646">
        <f>SUM(C2567:C2585)</f>
        <v>0.82250000000000001</v>
      </c>
      <c r="D2589" s="648">
        <f>SUM(D2567:D2588)</f>
        <v>8453250</v>
      </c>
      <c r="E2589" s="667"/>
      <c r="F2589" s="649"/>
    </row>
    <row r="2590" spans="1:6" x14ac:dyDescent="0.2">
      <c r="A2590" s="642"/>
      <c r="B2590" s="627" t="s">
        <v>656</v>
      </c>
      <c r="C2590" s="668"/>
      <c r="D2590" s="629"/>
      <c r="E2590" s="669"/>
      <c r="F2590" s="630"/>
    </row>
    <row r="2591" spans="1:6" x14ac:dyDescent="0.2">
      <c r="A2591" s="642" t="s">
        <v>660</v>
      </c>
      <c r="B2591" s="627" t="s">
        <v>343</v>
      </c>
      <c r="C2591" s="668">
        <v>0.01</v>
      </c>
      <c r="D2591" s="629">
        <f>C2591*D2552</f>
        <v>255000</v>
      </c>
      <c r="E2591" s="669"/>
      <c r="F2591" s="630"/>
    </row>
    <row r="2592" spans="1:6" x14ac:dyDescent="0.2">
      <c r="A2592" s="642" t="s">
        <v>772</v>
      </c>
      <c r="B2592" s="627" t="s">
        <v>659</v>
      </c>
      <c r="C2592" s="668">
        <v>0.03</v>
      </c>
      <c r="D2592" s="629">
        <f>C2592*D2552</f>
        <v>765000</v>
      </c>
      <c r="E2592" s="669"/>
      <c r="F2592" s="630"/>
    </row>
    <row r="2593" spans="1:6" x14ac:dyDescent="0.2">
      <c r="A2593" s="642" t="s">
        <v>913</v>
      </c>
      <c r="B2593" s="627" t="s">
        <v>912</v>
      </c>
      <c r="C2593" s="668">
        <v>0.04</v>
      </c>
      <c r="D2593" s="629">
        <f>C2593*D2552</f>
        <v>1020000</v>
      </c>
      <c r="E2593" s="669"/>
      <c r="F2593" s="630"/>
    </row>
    <row r="2594" spans="1:6" ht="42.75" x14ac:dyDescent="0.2">
      <c r="A2594" s="642" t="s">
        <v>926</v>
      </c>
      <c r="B2594" s="670" t="s">
        <v>132</v>
      </c>
      <c r="C2594" s="668">
        <v>7.0000000000000007E-2</v>
      </c>
      <c r="D2594" s="629">
        <f>C2594*D2552</f>
        <v>1785000.0000000002</v>
      </c>
      <c r="E2594" s="671"/>
      <c r="F2594" s="672" t="s">
        <v>1134</v>
      </c>
    </row>
    <row r="2595" spans="1:6" x14ac:dyDescent="0.2">
      <c r="A2595" s="642"/>
      <c r="B2595" s="673" t="s">
        <v>914</v>
      </c>
      <c r="C2595" s="674"/>
      <c r="D2595" s="675">
        <f>D2552-D2554-SUM(D2561:D2565)-D2589-SUM(D2591:D2594)</f>
        <v>8721750</v>
      </c>
      <c r="E2595" s="629"/>
      <c r="F2595" s="630"/>
    </row>
    <row r="2596" spans="1:6" x14ac:dyDescent="0.2">
      <c r="A2596" s="676"/>
      <c r="B2596" s="677" t="s">
        <v>661</v>
      </c>
      <c r="C2596" s="195"/>
      <c r="D2596" s="678">
        <f>D2595+D2594</f>
        <v>10506750</v>
      </c>
      <c r="E2596" s="678"/>
      <c r="F2596" s="679"/>
    </row>
    <row r="2597" spans="1:6" x14ac:dyDescent="0.2">
      <c r="A2597" s="267"/>
      <c r="B2597" s="174" t="s">
        <v>403</v>
      </c>
      <c r="C2597" s="585"/>
      <c r="D2597" s="177"/>
      <c r="E2597" s="177"/>
      <c r="F2597" s="177"/>
    </row>
    <row r="2598" spans="1:6" x14ac:dyDescent="0.2">
      <c r="A2598" s="267"/>
      <c r="B2598" s="174" t="s">
        <v>569</v>
      </c>
      <c r="C2598" s="978"/>
      <c r="D2598" s="956"/>
      <c r="E2598" s="956"/>
      <c r="F2598" s="957"/>
    </row>
    <row r="2599" spans="1:6" x14ac:dyDescent="0.2">
      <c r="A2599" s="267"/>
      <c r="B2599" s="174" t="s">
        <v>784</v>
      </c>
      <c r="C2599" s="978"/>
      <c r="D2599" s="956"/>
      <c r="E2599" s="956"/>
      <c r="F2599" s="957"/>
    </row>
    <row r="2600" spans="1:6" x14ac:dyDescent="0.2">
      <c r="A2600" s="267"/>
      <c r="B2600" s="174" t="s">
        <v>541</v>
      </c>
      <c r="C2600" s="915"/>
      <c r="D2600" s="916"/>
      <c r="E2600" s="916"/>
      <c r="F2600" s="917"/>
    </row>
    <row r="2601" spans="1:6" x14ac:dyDescent="0.2">
      <c r="A2601" s="267"/>
      <c r="B2601" s="174" t="s">
        <v>404</v>
      </c>
      <c r="C2601" s="958"/>
      <c r="D2601" s="959"/>
      <c r="E2601" s="959"/>
      <c r="F2601" s="960"/>
    </row>
    <row r="2602" spans="1:6" x14ac:dyDescent="0.2">
      <c r="A2602" s="114"/>
      <c r="B2602" s="21" t="s">
        <v>919</v>
      </c>
      <c r="C2602" s="940"/>
      <c r="D2602" s="941"/>
      <c r="E2602" s="941"/>
      <c r="F2602" s="942"/>
    </row>
    <row r="2603" spans="1:6" x14ac:dyDescent="0.2">
      <c r="A2603" s="589"/>
      <c r="B2603" s="590" t="s">
        <v>875</v>
      </c>
      <c r="C2603" s="977"/>
      <c r="D2603" s="961"/>
      <c r="E2603" s="961"/>
      <c r="F2603" s="962"/>
    </row>
    <row r="2604" spans="1:6" x14ac:dyDescent="0.2">
      <c r="A2604" s="114"/>
      <c r="B2604" s="591" t="s">
        <v>920</v>
      </c>
      <c r="C2604" s="946"/>
      <c r="D2604" s="947"/>
      <c r="E2604" s="947"/>
      <c r="F2604" s="948"/>
    </row>
    <row r="2605" spans="1:6" x14ac:dyDescent="0.2">
      <c r="A2605" s="593"/>
      <c r="B2605" s="591" t="s">
        <v>792</v>
      </c>
      <c r="C2605" s="927"/>
      <c r="D2605" s="928"/>
      <c r="E2605" s="928"/>
      <c r="F2605" s="929"/>
    </row>
    <row r="2606" spans="1:6" x14ac:dyDescent="0.2">
      <c r="A2606" s="734"/>
      <c r="B2606" s="591" t="s">
        <v>546</v>
      </c>
      <c r="C2606" s="949"/>
      <c r="D2606" s="950"/>
      <c r="E2606" s="950"/>
      <c r="F2606" s="951"/>
    </row>
    <row r="2607" spans="1:6" ht="31.5" x14ac:dyDescent="0.2">
      <c r="A2607" s="735"/>
      <c r="B2607" s="591" t="s">
        <v>796</v>
      </c>
      <c r="C2607" s="952"/>
      <c r="D2607" s="953"/>
      <c r="E2607" s="953"/>
      <c r="F2607" s="954"/>
    </row>
    <row r="2608" spans="1:6" ht="31.5" x14ac:dyDescent="0.2">
      <c r="A2608" s="736"/>
      <c r="B2608" s="591" t="s">
        <v>798</v>
      </c>
      <c r="C2608" s="949"/>
      <c r="D2608" s="950"/>
      <c r="E2608" s="950"/>
      <c r="F2608" s="951"/>
    </row>
    <row r="2609" spans="1:10" ht="101.25" customHeight="1" x14ac:dyDescent="0.2">
      <c r="A2609" s="804" t="s">
        <v>1135</v>
      </c>
      <c r="B2609" s="805"/>
      <c r="C2609" s="805"/>
      <c r="D2609" s="805"/>
      <c r="E2609" s="805"/>
      <c r="F2609" s="806"/>
      <c r="G2609" s="252">
        <v>0.1</v>
      </c>
      <c r="H2609" s="584">
        <f>D2610-D2610*G2609</f>
        <v>6524662.0320000006</v>
      </c>
      <c r="I2609" s="584"/>
      <c r="J2609" s="253">
        <f>H2609-D2611-D2640-D2641</f>
        <v>3185798.7212800006</v>
      </c>
    </row>
    <row r="2610" spans="1:10" ht="18.75" x14ac:dyDescent="0.2">
      <c r="A2610" s="173">
        <v>1</v>
      </c>
      <c r="B2610" s="254"/>
      <c r="C2610" s="175"/>
      <c r="D2610" s="798">
        <v>7249624.4800000004</v>
      </c>
      <c r="E2610" s="799"/>
      <c r="F2610" s="934"/>
      <c r="G2610" s="252">
        <v>0.15</v>
      </c>
      <c r="H2610" s="584">
        <f>D2610-D2610*G2610</f>
        <v>6162180.8080000002</v>
      </c>
      <c r="I2610" s="584"/>
      <c r="J2610" s="253">
        <f>H2610-D2611-D2640-D2641</f>
        <v>2823317.4972800002</v>
      </c>
    </row>
    <row r="2611" spans="1:10" ht="18.75" x14ac:dyDescent="0.2">
      <c r="A2611" s="502" t="s">
        <v>1035</v>
      </c>
      <c r="B2611" s="503" t="s">
        <v>677</v>
      </c>
      <c r="C2611" s="504"/>
      <c r="D2611" s="505">
        <f>SUM(D2612:D2615)</f>
        <v>700000</v>
      </c>
      <c r="E2611" s="506"/>
      <c r="F2611" s="600"/>
      <c r="G2611" s="252">
        <v>0.2</v>
      </c>
      <c r="H2611" s="584">
        <f>D2610-D2610*G2611</f>
        <v>5799699.5840000007</v>
      </c>
      <c r="I2611" s="584"/>
      <c r="J2611" s="253">
        <f>H2611-D2611-D2640-D2641</f>
        <v>2460836.2732800008</v>
      </c>
    </row>
    <row r="2612" spans="1:10" ht="18.75" x14ac:dyDescent="0.2">
      <c r="A2612" s="508" t="s">
        <v>613</v>
      </c>
      <c r="B2612" s="509" t="s">
        <v>353</v>
      </c>
      <c r="C2612" s="510"/>
      <c r="D2612" s="511">
        <v>500000</v>
      </c>
      <c r="E2612" s="512"/>
      <c r="F2612" s="513"/>
      <c r="G2612" s="252">
        <v>0.25</v>
      </c>
      <c r="H2612" s="584">
        <f>D2610-D2610*G2612</f>
        <v>5437218.3600000003</v>
      </c>
      <c r="I2612" s="584"/>
      <c r="J2612" s="253">
        <f>H2612-D2611-D2640-D2641</f>
        <v>2098355.0492800004</v>
      </c>
    </row>
    <row r="2613" spans="1:10" ht="18.75" x14ac:dyDescent="0.2">
      <c r="A2613" s="508" t="s">
        <v>615</v>
      </c>
      <c r="B2613" s="509" t="s">
        <v>681</v>
      </c>
      <c r="C2613" s="510"/>
      <c r="D2613" s="511">
        <v>200000</v>
      </c>
      <c r="E2613" s="512"/>
      <c r="F2613" s="513"/>
      <c r="G2613" s="252">
        <v>0.3</v>
      </c>
      <c r="H2613" s="584">
        <f>D2610-D2610*G2613</f>
        <v>5074737.1359999999</v>
      </c>
      <c r="I2613" s="584"/>
      <c r="J2613" s="253">
        <f>H2613-D2611-D2640-D2641</f>
        <v>1735873.82528</v>
      </c>
    </row>
    <row r="2614" spans="1:10" x14ac:dyDescent="0.2">
      <c r="A2614" s="508" t="s">
        <v>617</v>
      </c>
      <c r="B2614" s="509"/>
      <c r="C2614" s="510"/>
      <c r="D2614" s="511">
        <v>0</v>
      </c>
      <c r="E2614" s="512"/>
      <c r="F2614" s="513"/>
      <c r="G2614" s="719"/>
      <c r="H2614" s="698"/>
      <c r="I2614" s="698"/>
      <c r="J2614" s="615"/>
    </row>
    <row r="2615" spans="1:10" x14ac:dyDescent="0.2">
      <c r="A2615" s="508" t="s">
        <v>619</v>
      </c>
      <c r="B2615" s="509"/>
      <c r="C2615" s="510"/>
      <c r="D2615" s="511">
        <v>0</v>
      </c>
      <c r="E2615" s="512"/>
      <c r="F2615" s="513"/>
    </row>
    <row r="2616" spans="1:10" x14ac:dyDescent="0.2">
      <c r="A2616" s="720" t="s">
        <v>623</v>
      </c>
      <c r="B2616" s="260" t="s">
        <v>1136</v>
      </c>
      <c r="C2616" s="715"/>
      <c r="D2616" s="716">
        <v>1200000</v>
      </c>
      <c r="E2616" s="177"/>
      <c r="F2616" s="178"/>
    </row>
    <row r="2617" spans="1:10" ht="29.25" x14ac:dyDescent="0.2">
      <c r="A2617" s="550" t="s">
        <v>625</v>
      </c>
      <c r="B2617" s="551" t="s">
        <v>394</v>
      </c>
      <c r="C2617" s="552">
        <v>0.4</v>
      </c>
      <c r="D2617" s="553">
        <f>D2610*C2617</f>
        <v>2899849.7920000004</v>
      </c>
      <c r="E2617" s="554"/>
      <c r="F2617" s="555"/>
    </row>
    <row r="2618" spans="1:10" ht="30" x14ac:dyDescent="0.2">
      <c r="A2618" s="556" t="s">
        <v>687</v>
      </c>
      <c r="B2618" s="557" t="s">
        <v>748</v>
      </c>
      <c r="C2618" s="558">
        <v>0.12</v>
      </c>
      <c r="D2618" s="559">
        <f>C2618*D2617</f>
        <v>347981.97504000005</v>
      </c>
      <c r="E2618" s="560"/>
      <c r="F2618" s="561"/>
    </row>
    <row r="2619" spans="1:10" x14ac:dyDescent="0.2">
      <c r="A2619" s="556" t="s">
        <v>689</v>
      </c>
      <c r="B2619" s="557" t="s">
        <v>355</v>
      </c>
      <c r="C2619" s="558">
        <v>7.0000000000000007E-2</v>
      </c>
      <c r="D2619" s="559">
        <f>C2619*D2617</f>
        <v>202989.48544000005</v>
      </c>
      <c r="E2619" s="560"/>
      <c r="F2619" s="561"/>
    </row>
    <row r="2620" spans="1:10" x14ac:dyDescent="0.2">
      <c r="A2620" s="556" t="s">
        <v>691</v>
      </c>
      <c r="B2620" s="557" t="s">
        <v>810</v>
      </c>
      <c r="C2620" s="558">
        <v>0.05</v>
      </c>
      <c r="D2620" s="559">
        <f>D2617*C2620</f>
        <v>144992.48960000003</v>
      </c>
      <c r="E2620" s="561"/>
      <c r="F2620" s="561"/>
    </row>
    <row r="2621" spans="1:10" x14ac:dyDescent="0.2">
      <c r="A2621" s="556" t="s">
        <v>702</v>
      </c>
      <c r="B2621" s="557" t="s">
        <v>1137</v>
      </c>
      <c r="C2621" s="558">
        <v>0.1</v>
      </c>
      <c r="D2621" s="559">
        <f>C2621*D2617</f>
        <v>289984.97920000006</v>
      </c>
      <c r="E2621" s="560"/>
      <c r="F2621" s="561"/>
    </row>
    <row r="2622" spans="1:10" x14ac:dyDescent="0.2">
      <c r="A2622" s="737" t="s">
        <v>704</v>
      </c>
      <c r="B2622" s="738"/>
      <c r="C2622" s="739">
        <v>0</v>
      </c>
      <c r="D2622" s="740">
        <f>D2617*C2622</f>
        <v>0</v>
      </c>
      <c r="E2622" s="560"/>
      <c r="F2622" s="561"/>
      <c r="G2622" s="299"/>
    </row>
    <row r="2623" spans="1:10" x14ac:dyDescent="0.2">
      <c r="A2623" s="556" t="s">
        <v>751</v>
      </c>
      <c r="B2623" s="557" t="s">
        <v>1138</v>
      </c>
      <c r="C2623" s="558">
        <v>0.1</v>
      </c>
      <c r="D2623" s="559">
        <f>C2623*D2617</f>
        <v>289984.97920000006</v>
      </c>
      <c r="E2623" s="560"/>
      <c r="F2623" s="601"/>
      <c r="G2623" s="299"/>
    </row>
    <row r="2624" spans="1:10" x14ac:dyDescent="0.2">
      <c r="A2624" s="556" t="s">
        <v>752</v>
      </c>
      <c r="B2624" s="557" t="s">
        <v>1139</v>
      </c>
      <c r="C2624" s="558">
        <v>7.0000000000000007E-2</v>
      </c>
      <c r="D2624" s="559">
        <f>C2624*D2617</f>
        <v>202989.48544000005</v>
      </c>
      <c r="E2624" s="560"/>
      <c r="F2624" s="561"/>
      <c r="G2624" s="299"/>
    </row>
    <row r="2625" spans="1:9" x14ac:dyDescent="0.2">
      <c r="A2625" s="556" t="s">
        <v>753</v>
      </c>
      <c r="B2625" s="562" t="s">
        <v>1140</v>
      </c>
      <c r="C2625" s="563">
        <v>7.0000000000000007E-2</v>
      </c>
      <c r="D2625" s="564">
        <f>D2617*C2625</f>
        <v>202989.48544000005</v>
      </c>
      <c r="E2625" s="565"/>
      <c r="F2625" s="561"/>
      <c r="G2625" s="299"/>
    </row>
    <row r="2626" spans="1:9" s="741" customFormat="1" x14ac:dyDescent="0.2">
      <c r="A2626" s="737" t="s">
        <v>755</v>
      </c>
      <c r="B2626" s="742"/>
      <c r="C2626" s="743">
        <v>0</v>
      </c>
      <c r="D2626" s="744">
        <f>D2617*C2626</f>
        <v>0</v>
      </c>
      <c r="E2626" s="745"/>
      <c r="F2626" s="746"/>
      <c r="G2626" s="747"/>
      <c r="H2626" s="748"/>
      <c r="I2626" s="748"/>
    </row>
    <row r="2627" spans="1:9" x14ac:dyDescent="0.2">
      <c r="A2627" s="556" t="s">
        <v>756</v>
      </c>
      <c r="B2627" s="562" t="s">
        <v>1141</v>
      </c>
      <c r="C2627" s="563">
        <v>0.06</v>
      </c>
      <c r="D2627" s="564">
        <f>C2627*D2617</f>
        <v>173990.98752000002</v>
      </c>
      <c r="E2627" s="560"/>
      <c r="F2627" s="561"/>
      <c r="G2627" s="299"/>
    </row>
    <row r="2628" spans="1:9" x14ac:dyDescent="0.2">
      <c r="A2628" s="737" t="s">
        <v>757</v>
      </c>
      <c r="B2628" s="742"/>
      <c r="C2628" s="743">
        <v>0</v>
      </c>
      <c r="D2628" s="744">
        <f>C2628*D2617</f>
        <v>0</v>
      </c>
      <c r="E2628" s="560"/>
      <c r="F2628" s="561"/>
      <c r="G2628" s="299"/>
    </row>
    <row r="2629" spans="1:9" x14ac:dyDescent="0.2">
      <c r="A2629" s="737" t="s">
        <v>758</v>
      </c>
      <c r="B2629" s="742"/>
      <c r="C2629" s="743">
        <v>0</v>
      </c>
      <c r="D2629" s="744">
        <f>C2629*D2617</f>
        <v>0</v>
      </c>
      <c r="E2629" s="560"/>
      <c r="F2629" s="561"/>
      <c r="G2629" s="299"/>
    </row>
    <row r="2630" spans="1:9" x14ac:dyDescent="0.2">
      <c r="A2630" s="556" t="s">
        <v>759</v>
      </c>
      <c r="B2630" s="562" t="s">
        <v>260</v>
      </c>
      <c r="C2630" s="563">
        <v>7.0000000000000007E-2</v>
      </c>
      <c r="D2630" s="564">
        <f>C2630*D2617</f>
        <v>202989.48544000005</v>
      </c>
      <c r="E2630" s="560"/>
      <c r="F2630" s="561"/>
      <c r="G2630" s="299"/>
    </row>
    <row r="2631" spans="1:9" x14ac:dyDescent="0.2">
      <c r="A2631" s="737" t="s">
        <v>760</v>
      </c>
      <c r="B2631" s="742"/>
      <c r="C2631" s="743">
        <v>0</v>
      </c>
      <c r="D2631" s="744">
        <f>C2631*D2617</f>
        <v>0</v>
      </c>
      <c r="E2631" s="560"/>
      <c r="F2631" s="561"/>
      <c r="G2631" s="299"/>
    </row>
    <row r="2632" spans="1:9" x14ac:dyDescent="0.2">
      <c r="A2632" s="737" t="s">
        <v>762</v>
      </c>
      <c r="B2632" s="742"/>
      <c r="C2632" s="743">
        <v>0</v>
      </c>
      <c r="D2632" s="744">
        <f>C2632*D2617</f>
        <v>0</v>
      </c>
      <c r="E2632" s="565"/>
      <c r="F2632" s="561"/>
      <c r="G2632" s="299"/>
    </row>
    <row r="2633" spans="1:9" x14ac:dyDescent="0.2">
      <c r="A2633" s="737" t="s">
        <v>763</v>
      </c>
      <c r="B2633" s="742"/>
      <c r="C2633" s="743">
        <v>0</v>
      </c>
      <c r="D2633" s="744">
        <f>C2633*D2617</f>
        <v>0</v>
      </c>
      <c r="E2633" s="560"/>
      <c r="F2633" s="561"/>
      <c r="G2633" s="299"/>
    </row>
    <row r="2634" spans="1:9" x14ac:dyDescent="0.2">
      <c r="A2634" s="737" t="s">
        <v>764</v>
      </c>
      <c r="B2634" s="742"/>
      <c r="C2634" s="743">
        <v>0</v>
      </c>
      <c r="D2634" s="744">
        <f>C2634*D2617</f>
        <v>0</v>
      </c>
      <c r="E2634" s="560"/>
      <c r="F2634" s="561"/>
      <c r="G2634" s="299"/>
    </row>
    <row r="2635" spans="1:9" x14ac:dyDescent="0.2">
      <c r="A2635" s="556" t="s">
        <v>765</v>
      </c>
      <c r="B2635" s="562" t="s">
        <v>341</v>
      </c>
      <c r="C2635" s="563">
        <v>0.1</v>
      </c>
      <c r="D2635" s="564">
        <f>C2635*D2617</f>
        <v>289984.97920000006</v>
      </c>
      <c r="E2635" s="565"/>
      <c r="F2635" s="561"/>
      <c r="G2635" s="299"/>
    </row>
    <row r="2636" spans="1:9" ht="45" x14ac:dyDescent="0.2">
      <c r="A2636" s="556" t="s">
        <v>1082</v>
      </c>
      <c r="B2636" s="562" t="s">
        <v>1083</v>
      </c>
      <c r="C2636" s="563">
        <v>0.05</v>
      </c>
      <c r="D2636" s="564">
        <f>C2636*D2617</f>
        <v>144992.48960000003</v>
      </c>
      <c r="E2636" s="566"/>
      <c r="F2636" s="560"/>
      <c r="G2636" s="299"/>
    </row>
    <row r="2637" spans="1:9" x14ac:dyDescent="0.2">
      <c r="A2637" s="737" t="s">
        <v>1084</v>
      </c>
      <c r="B2637" s="742"/>
      <c r="C2637" s="743">
        <v>0</v>
      </c>
      <c r="D2637" s="744">
        <f>C2637*D2617</f>
        <v>0</v>
      </c>
      <c r="E2637" s="566"/>
      <c r="F2637" s="561"/>
      <c r="G2637" s="299"/>
    </row>
    <row r="2638" spans="1:9" x14ac:dyDescent="0.2">
      <c r="A2638" s="525">
        <v>5</v>
      </c>
      <c r="B2638" s="617" t="s">
        <v>859</v>
      </c>
      <c r="C2638" s="527"/>
      <c r="D2638" s="528">
        <f>D2639</f>
        <v>500000</v>
      </c>
      <c r="E2638" s="529"/>
      <c r="F2638" s="530"/>
      <c r="G2638" s="299"/>
    </row>
    <row r="2639" spans="1:9" x14ac:dyDescent="0.2">
      <c r="A2639" s="531" t="s">
        <v>628</v>
      </c>
      <c r="B2639" s="532" t="s">
        <v>980</v>
      </c>
      <c r="C2639" s="533"/>
      <c r="D2639" s="534">
        <v>500000</v>
      </c>
      <c r="E2639" s="535"/>
      <c r="F2639" s="536" t="s">
        <v>862</v>
      </c>
      <c r="G2639" s="299"/>
    </row>
    <row r="2640" spans="1:9" x14ac:dyDescent="0.2">
      <c r="A2640" s="550"/>
      <c r="B2640" s="567" t="s">
        <v>1142</v>
      </c>
      <c r="C2640" s="568">
        <f>SUM(C2618:C2637)</f>
        <v>0.86000000000000021</v>
      </c>
      <c r="D2640" s="569">
        <f>SUM(D2618:D2637)</f>
        <v>2493870.82112</v>
      </c>
      <c r="E2640" s="570"/>
      <c r="F2640" s="554"/>
    </row>
    <row r="2641" spans="1:10" x14ac:dyDescent="0.2">
      <c r="A2641" s="550"/>
      <c r="B2641" s="567" t="s">
        <v>132</v>
      </c>
      <c r="C2641" s="568">
        <v>0.05</v>
      </c>
      <c r="D2641" s="569">
        <f>C2641*D2617</f>
        <v>144992.48960000003</v>
      </c>
      <c r="E2641" s="570"/>
      <c r="F2641" s="554"/>
    </row>
    <row r="2642" spans="1:10" ht="28.5" x14ac:dyDescent="0.2">
      <c r="A2642" s="550"/>
      <c r="B2642" s="567" t="s">
        <v>308</v>
      </c>
      <c r="C2642" s="568">
        <f>D2642/D2610</f>
        <v>0.30494837013682125</v>
      </c>
      <c r="D2642" s="569">
        <f>D2610-D2611-D2616-D2640-D2641-D2638</f>
        <v>2210761.1692800005</v>
      </c>
      <c r="E2642" s="570"/>
      <c r="F2642" s="554"/>
    </row>
    <row r="2643" spans="1:10" ht="28.5" x14ac:dyDescent="0.2">
      <c r="A2643" s="571"/>
      <c r="B2643" s="572" t="s">
        <v>375</v>
      </c>
      <c r="C2643" s="573">
        <f>D2643/D2610</f>
        <v>0.32494837013682126</v>
      </c>
      <c r="D2643" s="574">
        <f>D2642+D2641</f>
        <v>2355753.6588800005</v>
      </c>
      <c r="E2643" s="575"/>
      <c r="F2643" s="575"/>
    </row>
    <row r="2644" spans="1:10" x14ac:dyDescent="0.2">
      <c r="A2644" s="267"/>
      <c r="B2644" s="174" t="s">
        <v>403</v>
      </c>
      <c r="C2644" s="585">
        <v>46127</v>
      </c>
      <c r="D2644" s="177"/>
      <c r="E2644" s="177"/>
      <c r="F2644" s="177"/>
    </row>
    <row r="2645" spans="1:10" x14ac:dyDescent="0.2">
      <c r="A2645" s="267"/>
      <c r="B2645" s="174" t="s">
        <v>569</v>
      </c>
      <c r="C2645" s="937" t="s">
        <v>1143</v>
      </c>
      <c r="D2645" s="956"/>
      <c r="E2645" s="956"/>
      <c r="F2645" s="957"/>
    </row>
    <row r="2646" spans="1:10" x14ac:dyDescent="0.2">
      <c r="A2646" s="267"/>
      <c r="B2646" s="174" t="s">
        <v>784</v>
      </c>
      <c r="C2646" s="937" t="s">
        <v>1144</v>
      </c>
      <c r="D2646" s="956"/>
      <c r="E2646" s="956"/>
      <c r="F2646" s="957"/>
    </row>
    <row r="2647" spans="1:10" ht="192" customHeight="1" x14ac:dyDescent="0.2">
      <c r="A2647" s="267"/>
      <c r="B2647" s="174" t="s">
        <v>541</v>
      </c>
      <c r="C2647" s="915" t="s">
        <v>1145</v>
      </c>
      <c r="D2647" s="916"/>
      <c r="E2647" s="916"/>
      <c r="F2647" s="917"/>
    </row>
    <row r="2648" spans="1:10" x14ac:dyDescent="0.2">
      <c r="A2648" s="267"/>
      <c r="B2648" s="174" t="s">
        <v>404</v>
      </c>
      <c r="C2648" s="958"/>
      <c r="D2648" s="959"/>
      <c r="E2648" s="959"/>
      <c r="F2648" s="960"/>
    </row>
    <row r="2649" spans="1:10" x14ac:dyDescent="0.2">
      <c r="A2649" s="114"/>
      <c r="B2649" s="21" t="s">
        <v>919</v>
      </c>
      <c r="C2649" s="940">
        <v>0.1</v>
      </c>
      <c r="D2649" s="941"/>
      <c r="E2649" s="941"/>
      <c r="F2649" s="942"/>
    </row>
    <row r="2650" spans="1:10" x14ac:dyDescent="0.2">
      <c r="A2650" s="589"/>
      <c r="B2650" s="590" t="s">
        <v>875</v>
      </c>
      <c r="C2650" s="943">
        <v>72496.240000000005</v>
      </c>
      <c r="D2650" s="961"/>
      <c r="E2650" s="961"/>
      <c r="F2650" s="962"/>
    </row>
    <row r="2651" spans="1:10" x14ac:dyDescent="0.2">
      <c r="A2651" s="114"/>
      <c r="B2651" s="591" t="s">
        <v>1146</v>
      </c>
      <c r="C2651" s="946">
        <v>46379</v>
      </c>
      <c r="D2651" s="947"/>
      <c r="E2651" s="947"/>
      <c r="F2651" s="948"/>
    </row>
    <row r="2652" spans="1:10" x14ac:dyDescent="0.2">
      <c r="A2652" s="593"/>
      <c r="B2652" s="591" t="s">
        <v>792</v>
      </c>
      <c r="C2652" s="927"/>
      <c r="D2652" s="928"/>
      <c r="E2652" s="928"/>
      <c r="F2652" s="929"/>
    </row>
    <row r="2653" spans="1:10" ht="185.25" customHeight="1" x14ac:dyDescent="0.2">
      <c r="A2653" s="734"/>
      <c r="B2653" s="591" t="s">
        <v>546</v>
      </c>
      <c r="C2653" s="949" t="s">
        <v>1147</v>
      </c>
      <c r="D2653" s="950"/>
      <c r="E2653" s="950"/>
      <c r="F2653" s="951"/>
    </row>
    <row r="2654" spans="1:10" ht="31.5" x14ac:dyDescent="0.2">
      <c r="A2654" s="735"/>
      <c r="B2654" s="591" t="s">
        <v>796</v>
      </c>
      <c r="C2654" s="952"/>
      <c r="D2654" s="953"/>
      <c r="E2654" s="953"/>
      <c r="F2654" s="954"/>
    </row>
    <row r="2655" spans="1:10" ht="31.5" x14ac:dyDescent="0.2">
      <c r="A2655" s="736"/>
      <c r="B2655" s="591" t="s">
        <v>798</v>
      </c>
      <c r="C2655" s="949"/>
      <c r="D2655" s="950"/>
      <c r="E2655" s="950"/>
      <c r="F2655" s="951"/>
    </row>
    <row r="2656" spans="1:10" ht="120" customHeight="1" x14ac:dyDescent="0.2">
      <c r="A2656" s="804" t="s">
        <v>1148</v>
      </c>
      <c r="B2656" s="805"/>
      <c r="C2656" s="805"/>
      <c r="D2656" s="805"/>
      <c r="E2656" s="805"/>
      <c r="F2656" s="806"/>
      <c r="G2656" s="252">
        <v>0.1</v>
      </c>
      <c r="H2656" s="584">
        <f>D2657-D2657*G2656</f>
        <v>24408786.204</v>
      </c>
      <c r="I2656" s="584"/>
      <c r="J2656" s="253">
        <f>H2656-D2658-D2687-D2688</f>
        <v>10843469.791519996</v>
      </c>
    </row>
    <row r="2657" spans="1:10" ht="18.75" x14ac:dyDescent="0.2">
      <c r="A2657" s="173">
        <v>1</v>
      </c>
      <c r="B2657" s="254"/>
      <c r="C2657" s="175"/>
      <c r="D2657" s="798">
        <v>27120873.559999999</v>
      </c>
      <c r="E2657" s="799"/>
      <c r="F2657" s="934"/>
      <c r="G2657" s="252">
        <v>0.15</v>
      </c>
      <c r="H2657" s="584">
        <f>D2657-D2657*G2657</f>
        <v>23052742.526000001</v>
      </c>
      <c r="I2657" s="584"/>
      <c r="J2657" s="253">
        <f>H2657-D2658-D2687-D2688</f>
        <v>9487426.1135199964</v>
      </c>
    </row>
    <row r="2658" spans="1:10" ht="18.75" x14ac:dyDescent="0.2">
      <c r="A2658" s="502" t="s">
        <v>1035</v>
      </c>
      <c r="B2658" s="503"/>
      <c r="C2658" s="504"/>
      <c r="D2658" s="505">
        <f>SUM(D2659:D2662)</f>
        <v>2500000</v>
      </c>
      <c r="E2658" s="506"/>
      <c r="F2658" s="600"/>
      <c r="G2658" s="252">
        <v>0.2</v>
      </c>
      <c r="H2658" s="584">
        <f>D2657-D2657*G2658</f>
        <v>21696698.847999997</v>
      </c>
      <c r="I2658" s="584"/>
      <c r="J2658" s="253">
        <f>H2658-D2658-D2687-D2688</f>
        <v>8131382.4355199933</v>
      </c>
    </row>
    <row r="2659" spans="1:10" ht="18.75" x14ac:dyDescent="0.2">
      <c r="A2659" s="508" t="s">
        <v>613</v>
      </c>
      <c r="B2659" s="509"/>
      <c r="C2659" s="510"/>
      <c r="D2659" s="511">
        <v>0</v>
      </c>
      <c r="E2659" s="512"/>
      <c r="F2659" s="513"/>
      <c r="G2659" s="252">
        <v>0.25</v>
      </c>
      <c r="H2659" s="584">
        <f>D2657-D2657*G2659</f>
        <v>20340655.169999998</v>
      </c>
      <c r="I2659" s="584"/>
      <c r="J2659" s="253">
        <f>H2659-D2658-D2687-D2688</f>
        <v>6775338.7575199939</v>
      </c>
    </row>
    <row r="2660" spans="1:10" ht="18.75" x14ac:dyDescent="0.2">
      <c r="A2660" s="508" t="s">
        <v>615</v>
      </c>
      <c r="B2660" s="509"/>
      <c r="C2660" s="510"/>
      <c r="D2660" s="511">
        <v>0</v>
      </c>
      <c r="E2660" s="512"/>
      <c r="F2660" s="513"/>
      <c r="G2660" s="252">
        <v>0.3</v>
      </c>
      <c r="H2660" s="584">
        <f>D2657-D2657*G2660</f>
        <v>18984611.491999999</v>
      </c>
      <c r="I2660" s="584"/>
      <c r="J2660" s="253">
        <f>H2660-D2658-D2687-D2688</f>
        <v>5419295.0795199946</v>
      </c>
    </row>
    <row r="2661" spans="1:10" x14ac:dyDescent="0.2">
      <c r="A2661" s="508" t="s">
        <v>617</v>
      </c>
      <c r="B2661" s="509" t="s">
        <v>706</v>
      </c>
      <c r="C2661" s="510"/>
      <c r="D2661" s="511">
        <v>500000</v>
      </c>
      <c r="E2661" s="512"/>
      <c r="F2661" s="513"/>
      <c r="G2661" s="719"/>
      <c r="H2661" s="698"/>
      <c r="I2661" s="698"/>
      <c r="J2661" s="615"/>
    </row>
    <row r="2662" spans="1:10" ht="45.75" customHeight="1" x14ac:dyDescent="0.2">
      <c r="A2662" s="508" t="s">
        <v>619</v>
      </c>
      <c r="B2662" s="509" t="s">
        <v>1149</v>
      </c>
      <c r="C2662" s="510"/>
      <c r="D2662" s="511">
        <v>2000000</v>
      </c>
      <c r="E2662" s="512"/>
      <c r="F2662" s="749" t="s">
        <v>1150</v>
      </c>
    </row>
    <row r="2663" spans="1:10" x14ac:dyDescent="0.2">
      <c r="A2663" s="720" t="s">
        <v>623</v>
      </c>
      <c r="B2663" s="260" t="s">
        <v>1151</v>
      </c>
      <c r="C2663" s="715"/>
      <c r="D2663" s="716">
        <v>2000000</v>
      </c>
      <c r="E2663" s="177"/>
      <c r="F2663" s="178" t="s">
        <v>1150</v>
      </c>
    </row>
    <row r="2664" spans="1:10" ht="43.5" x14ac:dyDescent="0.2">
      <c r="A2664" s="550" t="s">
        <v>625</v>
      </c>
      <c r="B2664" s="551" t="s">
        <v>1152</v>
      </c>
      <c r="C2664" s="552">
        <v>0.4</v>
      </c>
      <c r="D2664" s="553">
        <f>D2657*C2664</f>
        <v>10848349.424000001</v>
      </c>
      <c r="E2664" s="554"/>
      <c r="F2664" s="555"/>
    </row>
    <row r="2665" spans="1:10" ht="30" x14ac:dyDescent="0.2">
      <c r="A2665" s="556" t="s">
        <v>687</v>
      </c>
      <c r="B2665" s="557" t="s">
        <v>748</v>
      </c>
      <c r="C2665" s="558">
        <v>0.1</v>
      </c>
      <c r="D2665" s="559">
        <f>C2665*D2664</f>
        <v>1084834.9424000001</v>
      </c>
      <c r="E2665" s="560"/>
      <c r="F2665" s="561"/>
    </row>
    <row r="2666" spans="1:10" x14ac:dyDescent="0.2">
      <c r="A2666" s="556" t="s">
        <v>689</v>
      </c>
      <c r="B2666" s="557" t="s">
        <v>355</v>
      </c>
      <c r="C2666" s="558">
        <v>0.04</v>
      </c>
      <c r="D2666" s="559">
        <f>C2666*D2664</f>
        <v>433933.97696000006</v>
      </c>
      <c r="E2666" s="560"/>
      <c r="F2666" s="561"/>
    </row>
    <row r="2667" spans="1:10" x14ac:dyDescent="0.2">
      <c r="A2667" s="556" t="s">
        <v>691</v>
      </c>
      <c r="B2667" s="557" t="s">
        <v>810</v>
      </c>
      <c r="C2667" s="558">
        <v>0.04</v>
      </c>
      <c r="D2667" s="559">
        <f>D2664*C2667</f>
        <v>433933.97696000006</v>
      </c>
      <c r="E2667" s="561"/>
      <c r="F2667" s="561"/>
    </row>
    <row r="2668" spans="1:10" x14ac:dyDescent="0.2">
      <c r="A2668" s="556" t="s">
        <v>702</v>
      </c>
      <c r="B2668" s="557" t="s">
        <v>20</v>
      </c>
      <c r="C2668" s="558">
        <v>0.05</v>
      </c>
      <c r="D2668" s="559">
        <f>C2668*D2664</f>
        <v>542417.47120000003</v>
      </c>
      <c r="E2668" s="560"/>
      <c r="F2668" s="561" t="s">
        <v>1150</v>
      </c>
    </row>
    <row r="2669" spans="1:10" x14ac:dyDescent="0.2">
      <c r="A2669" s="556" t="s">
        <v>704</v>
      </c>
      <c r="B2669" s="750" t="s">
        <v>267</v>
      </c>
      <c r="C2669" s="751">
        <v>7.0000000000000007E-2</v>
      </c>
      <c r="D2669" s="752">
        <f>D2664*C2669</f>
        <v>759384.45968000009</v>
      </c>
      <c r="E2669" s="560"/>
      <c r="F2669" s="561" t="s">
        <v>1153</v>
      </c>
      <c r="G2669" s="299"/>
    </row>
    <row r="2670" spans="1:10" x14ac:dyDescent="0.2">
      <c r="A2670" s="556" t="s">
        <v>751</v>
      </c>
      <c r="B2670" s="750" t="s">
        <v>1154</v>
      </c>
      <c r="C2670" s="751">
        <v>0.08</v>
      </c>
      <c r="D2670" s="752">
        <f>C2670*D2664</f>
        <v>867867.95392000012</v>
      </c>
      <c r="E2670" s="560"/>
      <c r="F2670" s="601" t="s">
        <v>382</v>
      </c>
      <c r="G2670" s="299"/>
    </row>
    <row r="2671" spans="1:10" x14ac:dyDescent="0.2">
      <c r="A2671" s="556" t="s">
        <v>752</v>
      </c>
      <c r="B2671" s="750" t="s">
        <v>319</v>
      </c>
      <c r="C2671" s="751">
        <v>0.04</v>
      </c>
      <c r="D2671" s="752">
        <f>C2671*D2664</f>
        <v>433933.97696000006</v>
      </c>
      <c r="E2671" s="560"/>
      <c r="F2671" s="561" t="s">
        <v>365</v>
      </c>
      <c r="G2671" s="299"/>
    </row>
    <row r="2672" spans="1:10" x14ac:dyDescent="0.2">
      <c r="A2672" s="556" t="s">
        <v>753</v>
      </c>
      <c r="B2672" s="753" t="s">
        <v>754</v>
      </c>
      <c r="C2672" s="754">
        <v>0.04</v>
      </c>
      <c r="D2672" s="564">
        <f>D2664*C2672</f>
        <v>433933.97696000006</v>
      </c>
      <c r="E2672" s="565"/>
      <c r="F2672" s="561" t="s">
        <v>367</v>
      </c>
      <c r="G2672" s="299"/>
    </row>
    <row r="2673" spans="1:10" x14ac:dyDescent="0.2">
      <c r="A2673" s="556" t="s">
        <v>755</v>
      </c>
      <c r="B2673" s="753" t="s">
        <v>323</v>
      </c>
      <c r="C2673" s="754">
        <v>0.05</v>
      </c>
      <c r="D2673" s="564">
        <f>D2664*C2673</f>
        <v>542417.47120000003</v>
      </c>
      <c r="E2673" s="745"/>
      <c r="F2673" s="565" t="s">
        <v>1155</v>
      </c>
      <c r="G2673" s="747"/>
      <c r="H2673" s="748"/>
      <c r="I2673" s="748"/>
      <c r="J2673" s="741"/>
    </row>
    <row r="2674" spans="1:10" x14ac:dyDescent="0.2">
      <c r="A2674" s="556" t="s">
        <v>756</v>
      </c>
      <c r="B2674" s="753" t="s">
        <v>642</v>
      </c>
      <c r="C2674" s="754">
        <v>0.05</v>
      </c>
      <c r="D2674" s="564">
        <f>C2674*D2664</f>
        <v>542417.47120000003</v>
      </c>
      <c r="E2674" s="560"/>
      <c r="F2674" s="561" t="s">
        <v>1156</v>
      </c>
      <c r="G2674" s="299"/>
    </row>
    <row r="2675" spans="1:10" x14ac:dyDescent="0.2">
      <c r="A2675" s="556" t="s">
        <v>757</v>
      </c>
      <c r="B2675" s="753" t="s">
        <v>1157</v>
      </c>
      <c r="C2675" s="754">
        <v>7.0000000000000007E-2</v>
      </c>
      <c r="D2675" s="564">
        <f>C2675*D2664</f>
        <v>759384.45968000009</v>
      </c>
      <c r="E2675" s="560"/>
      <c r="F2675" s="755" t="s">
        <v>1150</v>
      </c>
      <c r="G2675" s="299"/>
    </row>
    <row r="2676" spans="1:10" x14ac:dyDescent="0.2">
      <c r="A2676" s="556" t="s">
        <v>758</v>
      </c>
      <c r="B2676" s="753" t="s">
        <v>1158</v>
      </c>
      <c r="C2676" s="754">
        <v>0.05</v>
      </c>
      <c r="D2676" s="564">
        <f>C2676*D2664</f>
        <v>542417.47120000003</v>
      </c>
      <c r="E2676" s="560"/>
      <c r="F2676" s="755" t="s">
        <v>1150</v>
      </c>
      <c r="G2676" s="299"/>
    </row>
    <row r="2677" spans="1:10" ht="47.25" x14ac:dyDescent="0.2">
      <c r="A2677" s="556" t="s">
        <v>759</v>
      </c>
      <c r="B2677" s="753" t="s">
        <v>260</v>
      </c>
      <c r="C2677" s="754">
        <v>0.05</v>
      </c>
      <c r="D2677" s="564">
        <f>C2677*D2664</f>
        <v>542417.47120000003</v>
      </c>
      <c r="E2677" s="560"/>
      <c r="F2677" s="561" t="s">
        <v>1159</v>
      </c>
      <c r="G2677" s="299"/>
    </row>
    <row r="2678" spans="1:10" x14ac:dyDescent="0.2">
      <c r="A2678" s="556" t="s">
        <v>760</v>
      </c>
      <c r="B2678" s="753" t="s">
        <v>261</v>
      </c>
      <c r="C2678" s="754">
        <v>0.03</v>
      </c>
      <c r="D2678" s="564">
        <f>C2678*D2664</f>
        <v>325450.48272000003</v>
      </c>
      <c r="E2678" s="560"/>
      <c r="F2678" s="561" t="s">
        <v>1160</v>
      </c>
      <c r="G2678" s="299"/>
    </row>
    <row r="2679" spans="1:10" x14ac:dyDescent="0.2">
      <c r="A2679" s="556" t="s">
        <v>762</v>
      </c>
      <c r="B2679" s="753" t="s">
        <v>262</v>
      </c>
      <c r="C2679" s="754">
        <v>0.02</v>
      </c>
      <c r="D2679" s="564">
        <f>C2679*D2664</f>
        <v>216966.98848000003</v>
      </c>
      <c r="E2679" s="565"/>
      <c r="F2679" s="755" t="s">
        <v>1150</v>
      </c>
      <c r="G2679" s="299"/>
    </row>
    <row r="2680" spans="1:10" x14ac:dyDescent="0.2">
      <c r="A2680" s="556" t="s">
        <v>763</v>
      </c>
      <c r="B2680" s="753" t="s">
        <v>1161</v>
      </c>
      <c r="C2680" s="754">
        <v>0.03</v>
      </c>
      <c r="D2680" s="564">
        <f>C2680*D2664</f>
        <v>325450.48272000003</v>
      </c>
      <c r="E2680" s="560"/>
      <c r="F2680" s="755" t="s">
        <v>1150</v>
      </c>
      <c r="G2680" s="299"/>
    </row>
    <row r="2681" spans="1:10" x14ac:dyDescent="0.2">
      <c r="A2681" s="556" t="s">
        <v>764</v>
      </c>
      <c r="B2681" s="753" t="s">
        <v>1162</v>
      </c>
      <c r="C2681" s="754">
        <v>0.03</v>
      </c>
      <c r="D2681" s="564">
        <f>C2681*D2664</f>
        <v>325450.48272000003</v>
      </c>
      <c r="E2681" s="560"/>
      <c r="F2681" s="561" t="s">
        <v>1163</v>
      </c>
      <c r="G2681" s="299"/>
    </row>
    <row r="2682" spans="1:10" x14ac:dyDescent="0.2">
      <c r="A2682" s="556" t="s">
        <v>765</v>
      </c>
      <c r="B2682" s="753" t="s">
        <v>341</v>
      </c>
      <c r="C2682" s="754">
        <v>0.08</v>
      </c>
      <c r="D2682" s="564">
        <f>C2682*D2664</f>
        <v>867867.95392000012</v>
      </c>
      <c r="E2682" s="565"/>
      <c r="F2682" s="561" t="s">
        <v>1101</v>
      </c>
      <c r="G2682" s="299"/>
    </row>
    <row r="2683" spans="1:10" ht="45" x14ac:dyDescent="0.2">
      <c r="A2683" s="556" t="s">
        <v>1082</v>
      </c>
      <c r="B2683" s="562" t="s">
        <v>1083</v>
      </c>
      <c r="C2683" s="563">
        <v>0.05</v>
      </c>
      <c r="D2683" s="564">
        <f>C2683*D2664</f>
        <v>542417.47120000003</v>
      </c>
      <c r="E2683" s="566"/>
      <c r="F2683" s="560"/>
      <c r="G2683" s="299"/>
    </row>
    <row r="2684" spans="1:10" x14ac:dyDescent="0.2">
      <c r="A2684" s="756" t="s">
        <v>1084</v>
      </c>
      <c r="B2684" s="757"/>
      <c r="C2684" s="758">
        <v>0</v>
      </c>
      <c r="D2684" s="759">
        <f>C2684*D2664</f>
        <v>0</v>
      </c>
      <c r="E2684" s="566"/>
      <c r="F2684" s="565"/>
      <c r="G2684" s="299"/>
    </row>
    <row r="2685" spans="1:10" x14ac:dyDescent="0.2">
      <c r="A2685" s="525">
        <v>5</v>
      </c>
      <c r="B2685" s="617" t="s">
        <v>859</v>
      </c>
      <c r="C2685" s="527"/>
      <c r="D2685" s="528">
        <f>D2686</f>
        <v>1000000</v>
      </c>
      <c r="E2685" s="529"/>
      <c r="F2685" s="530"/>
      <c r="G2685" s="299"/>
    </row>
    <row r="2686" spans="1:10" x14ac:dyDescent="0.2">
      <c r="A2686" s="531" t="s">
        <v>628</v>
      </c>
      <c r="B2686" s="532" t="s">
        <v>1164</v>
      </c>
      <c r="C2686" s="533"/>
      <c r="D2686" s="534">
        <v>1000000</v>
      </c>
      <c r="E2686" s="535"/>
      <c r="F2686" s="536" t="s">
        <v>862</v>
      </c>
      <c r="G2686" s="299"/>
    </row>
    <row r="2687" spans="1:10" x14ac:dyDescent="0.2">
      <c r="A2687" s="550"/>
      <c r="B2687" s="567" t="s">
        <v>1165</v>
      </c>
      <c r="C2687" s="568">
        <f>SUM(C2665:C2684)</f>
        <v>0.97000000000000031</v>
      </c>
      <c r="D2687" s="569">
        <f>SUM(D2665:D2684)</f>
        <v>10522898.941280004</v>
      </c>
      <c r="E2687" s="570"/>
      <c r="F2687" s="554"/>
    </row>
    <row r="2688" spans="1:10" x14ac:dyDescent="0.2">
      <c r="A2688" s="550"/>
      <c r="B2688" s="567" t="s">
        <v>132</v>
      </c>
      <c r="C2688" s="568">
        <v>0.05</v>
      </c>
      <c r="D2688" s="569">
        <f>C2688*D2664</f>
        <v>542417.47120000003</v>
      </c>
      <c r="E2688" s="570"/>
      <c r="F2688" s="554"/>
    </row>
    <row r="2689" spans="1:10" ht="28.5" x14ac:dyDescent="0.2">
      <c r="A2689" s="550"/>
      <c r="B2689" s="567" t="s">
        <v>308</v>
      </c>
      <c r="C2689" s="568">
        <f>D2689/D2657</f>
        <v>0.38920417235704979</v>
      </c>
      <c r="D2689" s="569">
        <f>D2657-D2658-D2663-D2687-D2688-D2685</f>
        <v>10555557.147519995</v>
      </c>
      <c r="E2689" s="570"/>
      <c r="F2689" s="554"/>
    </row>
    <row r="2690" spans="1:10" ht="28.5" x14ac:dyDescent="0.2">
      <c r="A2690" s="571"/>
      <c r="B2690" s="572" t="s">
        <v>375</v>
      </c>
      <c r="C2690" s="573">
        <f>D2690/D2657</f>
        <v>0.40920417235704981</v>
      </c>
      <c r="D2690" s="574">
        <f>D2689+D2688</f>
        <v>11097974.618719995</v>
      </c>
      <c r="E2690" s="575"/>
      <c r="F2690" s="575"/>
    </row>
    <row r="2691" spans="1:10" x14ac:dyDescent="0.2">
      <c r="A2691" s="267"/>
      <c r="B2691" s="174" t="s">
        <v>403</v>
      </c>
      <c r="C2691" s="585" t="s">
        <v>1166</v>
      </c>
      <c r="D2691" s="177"/>
      <c r="E2691" s="177"/>
      <c r="F2691" s="177"/>
    </row>
    <row r="2692" spans="1:10" x14ac:dyDescent="0.2">
      <c r="A2692" s="267"/>
      <c r="B2692" s="174" t="s">
        <v>569</v>
      </c>
      <c r="C2692" s="937" t="s">
        <v>1167</v>
      </c>
      <c r="D2692" s="956"/>
      <c r="E2692" s="956"/>
      <c r="F2692" s="957"/>
    </row>
    <row r="2693" spans="1:10" x14ac:dyDescent="0.2">
      <c r="A2693" s="267"/>
      <c r="B2693" s="174" t="s">
        <v>784</v>
      </c>
      <c r="C2693" s="937" t="s">
        <v>1168</v>
      </c>
      <c r="D2693" s="956"/>
      <c r="E2693" s="956"/>
      <c r="F2693" s="957"/>
    </row>
    <row r="2694" spans="1:10" x14ac:dyDescent="0.2">
      <c r="A2694" s="267"/>
      <c r="B2694" s="174" t="s">
        <v>541</v>
      </c>
      <c r="C2694" s="915"/>
      <c r="D2694" s="916"/>
      <c r="E2694" s="916"/>
      <c r="F2694" s="917"/>
    </row>
    <row r="2695" spans="1:10" x14ac:dyDescent="0.2">
      <c r="A2695" s="267"/>
      <c r="B2695" s="174" t="s">
        <v>404</v>
      </c>
      <c r="C2695" s="958"/>
      <c r="D2695" s="959"/>
      <c r="E2695" s="959"/>
      <c r="F2695" s="960"/>
    </row>
    <row r="2696" spans="1:10" x14ac:dyDescent="0.2">
      <c r="A2696" s="114"/>
      <c r="B2696" s="21" t="s">
        <v>919</v>
      </c>
      <c r="C2696" s="940"/>
      <c r="D2696" s="941"/>
      <c r="E2696" s="941"/>
      <c r="F2696" s="942"/>
    </row>
    <row r="2697" spans="1:10" x14ac:dyDescent="0.2">
      <c r="A2697" s="589"/>
      <c r="B2697" s="590" t="s">
        <v>875</v>
      </c>
      <c r="C2697" s="977"/>
      <c r="D2697" s="961"/>
      <c r="E2697" s="961"/>
      <c r="F2697" s="962"/>
    </row>
    <row r="2698" spans="1:10" x14ac:dyDescent="0.2">
      <c r="A2698" s="114"/>
      <c r="B2698" s="591" t="s">
        <v>920</v>
      </c>
      <c r="C2698" s="946" t="s">
        <v>1169</v>
      </c>
      <c r="D2698" s="947"/>
      <c r="E2698" s="947"/>
      <c r="F2698" s="948"/>
    </row>
    <row r="2699" spans="1:10" x14ac:dyDescent="0.2">
      <c r="A2699" s="593"/>
      <c r="B2699" s="591" t="s">
        <v>792</v>
      </c>
      <c r="C2699" s="927"/>
      <c r="D2699" s="928"/>
      <c r="E2699" s="928"/>
      <c r="F2699" s="929"/>
    </row>
    <row r="2700" spans="1:10" ht="174" customHeight="1" x14ac:dyDescent="0.2">
      <c r="A2700" s="734"/>
      <c r="B2700" s="591" t="s">
        <v>546</v>
      </c>
      <c r="C2700" s="949" t="s">
        <v>1170</v>
      </c>
      <c r="D2700" s="950"/>
      <c r="E2700" s="950"/>
      <c r="F2700" s="951"/>
    </row>
    <row r="2701" spans="1:10" ht="31.5" x14ac:dyDescent="0.2">
      <c r="A2701" s="735"/>
      <c r="B2701" s="591" t="s">
        <v>796</v>
      </c>
      <c r="C2701" s="952"/>
      <c r="D2701" s="953"/>
      <c r="E2701" s="953"/>
      <c r="F2701" s="954"/>
    </row>
    <row r="2702" spans="1:10" ht="31.5" x14ac:dyDescent="0.2">
      <c r="A2702" s="736"/>
      <c r="B2702" s="591" t="s">
        <v>798</v>
      </c>
      <c r="C2702" s="949"/>
      <c r="D2702" s="950"/>
      <c r="E2702" s="950"/>
      <c r="F2702" s="951"/>
    </row>
    <row r="2703" spans="1:10" ht="142.5" customHeight="1" x14ac:dyDescent="0.2">
      <c r="A2703" s="804" t="s">
        <v>1171</v>
      </c>
      <c r="B2703" s="805"/>
      <c r="C2703" s="805"/>
      <c r="D2703" s="805"/>
      <c r="E2703" s="805"/>
      <c r="F2703" s="806"/>
      <c r="G2703" s="252">
        <v>0.1</v>
      </c>
      <c r="H2703" s="584">
        <f>D2704-D2704*G2703</f>
        <v>15477287.210999999</v>
      </c>
      <c r="I2703" s="584"/>
      <c r="J2703" s="253">
        <f>H2703-D2705-D2734-D2735</f>
        <v>8736068.7813200001</v>
      </c>
    </row>
    <row r="2704" spans="1:10" ht="18.75" x14ac:dyDescent="0.2">
      <c r="A2704" s="173">
        <v>1</v>
      </c>
      <c r="B2704" s="254"/>
      <c r="C2704" s="175"/>
      <c r="D2704" s="798">
        <v>17196985.789999999</v>
      </c>
      <c r="E2704" s="799"/>
      <c r="F2704" s="934"/>
      <c r="G2704" s="252">
        <v>0.15</v>
      </c>
      <c r="H2704" s="584">
        <f>D2704-D2704*G2704</f>
        <v>14617437.921499999</v>
      </c>
      <c r="I2704" s="584"/>
      <c r="J2704" s="253">
        <f>H2704-D2705-D2734-D2735</f>
        <v>7876219.4918199992</v>
      </c>
    </row>
    <row r="2705" spans="1:10" ht="18.75" x14ac:dyDescent="0.2">
      <c r="A2705" s="502" t="s">
        <v>1035</v>
      </c>
      <c r="B2705" s="503"/>
      <c r="C2705" s="504"/>
      <c r="D2705" s="505">
        <f>SUM(D2706:D2709)</f>
        <v>0</v>
      </c>
      <c r="E2705" s="506"/>
      <c r="F2705" s="600"/>
      <c r="G2705" s="252">
        <v>0.2</v>
      </c>
      <c r="H2705" s="584">
        <f>D2704-D2704*G2705</f>
        <v>13757588.631999999</v>
      </c>
      <c r="I2705" s="584"/>
      <c r="J2705" s="253">
        <f>H2705-D2705-D2734-D2735</f>
        <v>7016370.2023199992</v>
      </c>
    </row>
    <row r="2706" spans="1:10" ht="18.75" x14ac:dyDescent="0.2">
      <c r="A2706" s="508" t="s">
        <v>613</v>
      </c>
      <c r="B2706" s="509"/>
      <c r="C2706" s="510"/>
      <c r="D2706" s="511">
        <v>0</v>
      </c>
      <c r="E2706" s="512"/>
      <c r="F2706" s="513"/>
      <c r="G2706" s="252">
        <v>0.25</v>
      </c>
      <c r="H2706" s="584">
        <f>D2704-D2704*G2706</f>
        <v>12897739.342499999</v>
      </c>
      <c r="I2706" s="584"/>
      <c r="J2706" s="253">
        <f>H2706-D2705-D2734-D2735</f>
        <v>6156520.9128199993</v>
      </c>
    </row>
    <row r="2707" spans="1:10" ht="18.75" x14ac:dyDescent="0.2">
      <c r="A2707" s="508" t="s">
        <v>615</v>
      </c>
      <c r="B2707" s="509"/>
      <c r="C2707" s="510"/>
      <c r="D2707" s="511">
        <v>0</v>
      </c>
      <c r="E2707" s="512"/>
      <c r="F2707" s="513"/>
      <c r="G2707" s="252">
        <v>0.3</v>
      </c>
      <c r="H2707" s="584">
        <f>D2704-D2704*G2707</f>
        <v>12037890.052999999</v>
      </c>
      <c r="I2707" s="584"/>
      <c r="J2707" s="253">
        <f>H2707-D2705-D2734-D2735</f>
        <v>5296671.6233199993</v>
      </c>
    </row>
    <row r="2708" spans="1:10" x14ac:dyDescent="0.2">
      <c r="A2708" s="508" t="s">
        <v>617</v>
      </c>
      <c r="B2708" s="509"/>
      <c r="C2708" s="510"/>
      <c r="D2708" s="511">
        <v>0</v>
      </c>
      <c r="E2708" s="512"/>
      <c r="F2708" s="513"/>
      <c r="G2708" s="719"/>
      <c r="H2708" s="698"/>
      <c r="I2708" s="698"/>
      <c r="J2708" s="615"/>
    </row>
    <row r="2709" spans="1:10" x14ac:dyDescent="0.2">
      <c r="A2709" s="508" t="s">
        <v>619</v>
      </c>
      <c r="B2709" s="509"/>
      <c r="C2709" s="510"/>
      <c r="D2709" s="511">
        <v>0</v>
      </c>
      <c r="E2709" s="512"/>
      <c r="F2709" s="749"/>
    </row>
    <row r="2710" spans="1:10" x14ac:dyDescent="0.2">
      <c r="A2710" s="720" t="s">
        <v>623</v>
      </c>
      <c r="B2710" s="260" t="s">
        <v>1151</v>
      </c>
      <c r="C2710" s="715"/>
      <c r="D2710" s="716">
        <v>2500000</v>
      </c>
      <c r="E2710" s="177"/>
      <c r="F2710" s="178" t="s">
        <v>1150</v>
      </c>
    </row>
    <row r="2711" spans="1:10" ht="43.5" x14ac:dyDescent="0.2">
      <c r="A2711" s="550" t="s">
        <v>625</v>
      </c>
      <c r="B2711" s="551" t="s">
        <v>1152</v>
      </c>
      <c r="C2711" s="552">
        <v>0.4</v>
      </c>
      <c r="D2711" s="553">
        <f>D2704*C2711</f>
        <v>6878794.3159999996</v>
      </c>
      <c r="E2711" s="554"/>
      <c r="F2711" s="555"/>
    </row>
    <row r="2712" spans="1:10" ht="30" x14ac:dyDescent="0.2">
      <c r="A2712" s="556" t="s">
        <v>687</v>
      </c>
      <c r="B2712" s="557" t="s">
        <v>748</v>
      </c>
      <c r="C2712" s="558">
        <v>0.1</v>
      </c>
      <c r="D2712" s="559">
        <f>C2712*D2711</f>
        <v>687879.43160000001</v>
      </c>
      <c r="E2712" s="560"/>
      <c r="F2712" s="561"/>
    </row>
    <row r="2713" spans="1:10" x14ac:dyDescent="0.2">
      <c r="A2713" s="556" t="s">
        <v>689</v>
      </c>
      <c r="B2713" s="557" t="s">
        <v>355</v>
      </c>
      <c r="C2713" s="558">
        <v>0.05</v>
      </c>
      <c r="D2713" s="559">
        <f>C2713*D2711</f>
        <v>343939.71580000001</v>
      </c>
      <c r="E2713" s="560"/>
      <c r="F2713" s="561"/>
    </row>
    <row r="2714" spans="1:10" x14ac:dyDescent="0.2">
      <c r="A2714" s="556" t="s">
        <v>691</v>
      </c>
      <c r="B2714" s="557" t="s">
        <v>810</v>
      </c>
      <c r="C2714" s="558">
        <v>0.05</v>
      </c>
      <c r="D2714" s="559">
        <f>D2711*C2714</f>
        <v>343939.71580000001</v>
      </c>
      <c r="E2714" s="561"/>
      <c r="F2714" s="561"/>
    </row>
    <row r="2715" spans="1:10" x14ac:dyDescent="0.2">
      <c r="A2715" s="556" t="s">
        <v>702</v>
      </c>
      <c r="B2715" s="557" t="s">
        <v>20</v>
      </c>
      <c r="C2715" s="558">
        <v>0.05</v>
      </c>
      <c r="D2715" s="559">
        <f>C2715*D2711</f>
        <v>343939.71580000001</v>
      </c>
      <c r="E2715" s="560"/>
      <c r="F2715" s="561" t="s">
        <v>1150</v>
      </c>
    </row>
    <row r="2716" spans="1:10" x14ac:dyDescent="0.2">
      <c r="A2716" s="556" t="s">
        <v>704</v>
      </c>
      <c r="B2716" s="750" t="s">
        <v>267</v>
      </c>
      <c r="C2716" s="751">
        <v>0.09</v>
      </c>
      <c r="D2716" s="752">
        <f>D2711*C2716</f>
        <v>619091.48843999999</v>
      </c>
      <c r="E2716" s="560"/>
      <c r="F2716" s="561" t="s">
        <v>1153</v>
      </c>
      <c r="G2716" s="299"/>
    </row>
    <row r="2717" spans="1:10" x14ac:dyDescent="0.2">
      <c r="A2717" s="556" t="s">
        <v>751</v>
      </c>
      <c r="B2717" s="750" t="s">
        <v>1154</v>
      </c>
      <c r="C2717" s="751">
        <v>0.09</v>
      </c>
      <c r="D2717" s="752">
        <f>C2717*D2711</f>
        <v>619091.48843999999</v>
      </c>
      <c r="E2717" s="560"/>
      <c r="F2717" s="601" t="s">
        <v>382</v>
      </c>
      <c r="G2717" s="299"/>
    </row>
    <row r="2718" spans="1:10" x14ac:dyDescent="0.2">
      <c r="A2718" s="556" t="s">
        <v>752</v>
      </c>
      <c r="B2718" s="750" t="s">
        <v>1172</v>
      </c>
      <c r="C2718" s="751">
        <v>0.06</v>
      </c>
      <c r="D2718" s="752">
        <f>C2718*D2711</f>
        <v>412727.65895999997</v>
      </c>
      <c r="E2718" s="560"/>
      <c r="F2718" s="561" t="s">
        <v>365</v>
      </c>
      <c r="G2718" s="299"/>
    </row>
    <row r="2719" spans="1:10" x14ac:dyDescent="0.2">
      <c r="A2719" s="556" t="s">
        <v>753</v>
      </c>
      <c r="B2719" s="753" t="s">
        <v>1173</v>
      </c>
      <c r="C2719" s="754">
        <v>0.06</v>
      </c>
      <c r="D2719" s="564">
        <f>D2711*C2719</f>
        <v>412727.65895999997</v>
      </c>
      <c r="E2719" s="565"/>
      <c r="F2719" s="561" t="s">
        <v>367</v>
      </c>
      <c r="G2719" s="299"/>
    </row>
    <row r="2720" spans="1:10" x14ac:dyDescent="0.2">
      <c r="A2720" s="556" t="s">
        <v>755</v>
      </c>
      <c r="B2720" s="753" t="s">
        <v>1174</v>
      </c>
      <c r="C2720" s="754">
        <v>0.06</v>
      </c>
      <c r="D2720" s="564">
        <f>D2711*C2720</f>
        <v>412727.65895999997</v>
      </c>
      <c r="E2720" s="745"/>
      <c r="F2720" s="565" t="s">
        <v>1175</v>
      </c>
      <c r="G2720" s="747"/>
      <c r="H2720" s="748"/>
      <c r="I2720" s="748"/>
      <c r="J2720" s="741"/>
    </row>
    <row r="2721" spans="1:7" x14ac:dyDescent="0.2">
      <c r="A2721" s="556" t="s">
        <v>756</v>
      </c>
      <c r="B2721" s="753" t="s">
        <v>642</v>
      </c>
      <c r="C2721" s="754">
        <v>0.06</v>
      </c>
      <c r="D2721" s="564">
        <f>C2721*D2711</f>
        <v>412727.65895999997</v>
      </c>
      <c r="E2721" s="560"/>
      <c r="F2721" s="561" t="s">
        <v>1156</v>
      </c>
      <c r="G2721" s="299"/>
    </row>
    <row r="2722" spans="1:7" x14ac:dyDescent="0.2">
      <c r="A2722" s="756" t="s">
        <v>757</v>
      </c>
      <c r="B2722" s="757"/>
      <c r="C2722" s="758">
        <v>0</v>
      </c>
      <c r="D2722" s="759">
        <f>C2722*D2711</f>
        <v>0</v>
      </c>
      <c r="E2722" s="560"/>
      <c r="F2722" s="755"/>
      <c r="G2722" s="299"/>
    </row>
    <row r="2723" spans="1:7" x14ac:dyDescent="0.2">
      <c r="A2723" s="756" t="s">
        <v>758</v>
      </c>
      <c r="B2723" s="757"/>
      <c r="C2723" s="758">
        <v>0</v>
      </c>
      <c r="D2723" s="759">
        <f>C2723*D2711</f>
        <v>0</v>
      </c>
      <c r="E2723" s="560"/>
      <c r="F2723" s="755"/>
      <c r="G2723" s="299"/>
    </row>
    <row r="2724" spans="1:7" ht="31.5" x14ac:dyDescent="0.2">
      <c r="A2724" s="556" t="s">
        <v>759</v>
      </c>
      <c r="B2724" s="753" t="s">
        <v>260</v>
      </c>
      <c r="C2724" s="754">
        <v>0.06</v>
      </c>
      <c r="D2724" s="564">
        <f>C2724*D2711</f>
        <v>412727.65895999997</v>
      </c>
      <c r="E2724" s="560"/>
      <c r="F2724" s="561" t="s">
        <v>1176</v>
      </c>
      <c r="G2724" s="299"/>
    </row>
    <row r="2725" spans="1:7" x14ac:dyDescent="0.2">
      <c r="A2725" s="556" t="s">
        <v>760</v>
      </c>
      <c r="B2725" s="753" t="s">
        <v>261</v>
      </c>
      <c r="C2725" s="754">
        <v>0.05</v>
      </c>
      <c r="D2725" s="564">
        <f>C2725*D2711</f>
        <v>343939.71580000001</v>
      </c>
      <c r="E2725" s="560"/>
      <c r="F2725" s="561" t="s">
        <v>1160</v>
      </c>
      <c r="G2725" s="299"/>
    </row>
    <row r="2726" spans="1:7" x14ac:dyDescent="0.2">
      <c r="A2726" s="756" t="s">
        <v>762</v>
      </c>
      <c r="B2726" s="757"/>
      <c r="C2726" s="758">
        <v>0</v>
      </c>
      <c r="D2726" s="759">
        <f>C2726*D2711</f>
        <v>0</v>
      </c>
      <c r="E2726" s="565"/>
      <c r="F2726" s="755"/>
      <c r="G2726" s="299"/>
    </row>
    <row r="2727" spans="1:7" x14ac:dyDescent="0.2">
      <c r="A2727" s="756" t="s">
        <v>763</v>
      </c>
      <c r="B2727" s="757"/>
      <c r="C2727" s="758">
        <v>0</v>
      </c>
      <c r="D2727" s="759">
        <f>C2727*D2711</f>
        <v>0</v>
      </c>
      <c r="E2727" s="560"/>
      <c r="F2727" s="755"/>
      <c r="G2727" s="299"/>
    </row>
    <row r="2728" spans="1:7" x14ac:dyDescent="0.2">
      <c r="A2728" s="756" t="s">
        <v>764</v>
      </c>
      <c r="B2728" s="757"/>
      <c r="C2728" s="758">
        <v>0</v>
      </c>
      <c r="D2728" s="759">
        <f>C2728*D2711</f>
        <v>0</v>
      </c>
      <c r="E2728" s="560"/>
      <c r="F2728" s="561"/>
      <c r="G2728" s="299"/>
    </row>
    <row r="2729" spans="1:7" x14ac:dyDescent="0.2">
      <c r="A2729" s="556" t="s">
        <v>765</v>
      </c>
      <c r="B2729" s="753" t="s">
        <v>341</v>
      </c>
      <c r="C2729" s="754">
        <v>0.1</v>
      </c>
      <c r="D2729" s="564">
        <f>C2729*D2711</f>
        <v>687879.43160000001</v>
      </c>
      <c r="E2729" s="565"/>
      <c r="F2729" s="561" t="s">
        <v>1101</v>
      </c>
      <c r="G2729" s="299"/>
    </row>
    <row r="2730" spans="1:7" ht="45" x14ac:dyDescent="0.2">
      <c r="A2730" s="556" t="s">
        <v>1082</v>
      </c>
      <c r="B2730" s="562" t="s">
        <v>1083</v>
      </c>
      <c r="C2730" s="563">
        <v>0.05</v>
      </c>
      <c r="D2730" s="564">
        <f>C2730*D2711</f>
        <v>343939.71580000001</v>
      </c>
      <c r="E2730" s="566"/>
      <c r="F2730" s="560"/>
      <c r="G2730" s="299"/>
    </row>
    <row r="2731" spans="1:7" x14ac:dyDescent="0.2">
      <c r="A2731" s="756" t="s">
        <v>1084</v>
      </c>
      <c r="B2731" s="757"/>
      <c r="C2731" s="758">
        <v>0</v>
      </c>
      <c r="D2731" s="759">
        <f>C2731*D2711</f>
        <v>0</v>
      </c>
      <c r="E2731" s="566"/>
      <c r="F2731" s="565"/>
      <c r="G2731" s="299"/>
    </row>
    <row r="2732" spans="1:7" x14ac:dyDescent="0.2">
      <c r="A2732" s="525">
        <v>5</v>
      </c>
      <c r="B2732" s="617" t="s">
        <v>859</v>
      </c>
      <c r="C2732" s="527"/>
      <c r="D2732" s="528">
        <f>D2733</f>
        <v>1000000</v>
      </c>
      <c r="E2732" s="529"/>
      <c r="F2732" s="530"/>
      <c r="G2732" s="299"/>
    </row>
    <row r="2733" spans="1:7" x14ac:dyDescent="0.2">
      <c r="A2733" s="531" t="s">
        <v>628</v>
      </c>
      <c r="B2733" s="532" t="s">
        <v>1177</v>
      </c>
      <c r="C2733" s="533"/>
      <c r="D2733" s="534">
        <v>1000000</v>
      </c>
      <c r="E2733" s="535"/>
      <c r="F2733" s="536" t="s">
        <v>862</v>
      </c>
      <c r="G2733" s="299"/>
    </row>
    <row r="2734" spans="1:7" x14ac:dyDescent="0.2">
      <c r="A2734" s="550"/>
      <c r="B2734" s="567" t="s">
        <v>1165</v>
      </c>
      <c r="C2734" s="568">
        <f>SUM(C2712:C2731)</f>
        <v>0.93</v>
      </c>
      <c r="D2734" s="569">
        <f>SUM(D2712:D2731)</f>
        <v>6397278.7138799997</v>
      </c>
      <c r="E2734" s="570"/>
      <c r="F2734" s="554"/>
    </row>
    <row r="2735" spans="1:7" x14ac:dyDescent="0.2">
      <c r="A2735" s="550"/>
      <c r="B2735" s="567" t="s">
        <v>132</v>
      </c>
      <c r="C2735" s="568">
        <v>0.05</v>
      </c>
      <c r="D2735" s="569">
        <f>C2735*D2711</f>
        <v>343939.71580000001</v>
      </c>
      <c r="E2735" s="570"/>
      <c r="F2735" s="554"/>
    </row>
    <row r="2736" spans="1:7" ht="28.5" x14ac:dyDescent="0.2">
      <c r="A2736" s="550"/>
      <c r="B2736" s="567" t="s">
        <v>308</v>
      </c>
      <c r="C2736" s="568">
        <f>D2736/D2704</f>
        <v>0.40447596138416064</v>
      </c>
      <c r="D2736" s="569">
        <f>D2704-D2705-D2710-D2734-D2735-D2732</f>
        <v>6955767.360319999</v>
      </c>
      <c r="E2736" s="570"/>
      <c r="F2736" s="554"/>
    </row>
    <row r="2737" spans="1:10" ht="28.5" x14ac:dyDescent="0.2">
      <c r="A2737" s="571"/>
      <c r="B2737" s="572" t="s">
        <v>375</v>
      </c>
      <c r="C2737" s="573">
        <f>D2737/D2704</f>
        <v>0.42447596138416066</v>
      </c>
      <c r="D2737" s="574">
        <f>D2736+D2735</f>
        <v>7299707.0761199994</v>
      </c>
      <c r="E2737" s="575"/>
      <c r="F2737" s="575"/>
    </row>
    <row r="2738" spans="1:10" x14ac:dyDescent="0.2">
      <c r="A2738" s="267"/>
      <c r="B2738" s="174" t="s">
        <v>403</v>
      </c>
      <c r="C2738" s="585" t="s">
        <v>1178</v>
      </c>
      <c r="D2738" s="177"/>
      <c r="E2738" s="177"/>
      <c r="F2738" s="177"/>
    </row>
    <row r="2739" spans="1:10" x14ac:dyDescent="0.2">
      <c r="A2739" s="267"/>
      <c r="B2739" s="174" t="s">
        <v>569</v>
      </c>
      <c r="C2739" s="937" t="s">
        <v>1167</v>
      </c>
      <c r="D2739" s="956"/>
      <c r="E2739" s="956"/>
      <c r="F2739" s="957"/>
    </row>
    <row r="2740" spans="1:10" x14ac:dyDescent="0.2">
      <c r="A2740" s="267"/>
      <c r="B2740" s="174" t="s">
        <v>784</v>
      </c>
      <c r="C2740" s="937" t="s">
        <v>1168</v>
      </c>
      <c r="D2740" s="956"/>
      <c r="E2740" s="956"/>
      <c r="F2740" s="957"/>
    </row>
    <row r="2741" spans="1:10" x14ac:dyDescent="0.2">
      <c r="A2741" s="267"/>
      <c r="B2741" s="174" t="s">
        <v>541</v>
      </c>
      <c r="C2741" s="915"/>
      <c r="D2741" s="916"/>
      <c r="E2741" s="916"/>
      <c r="F2741" s="917"/>
    </row>
    <row r="2742" spans="1:10" x14ac:dyDescent="0.2">
      <c r="A2742" s="267"/>
      <c r="B2742" s="174" t="s">
        <v>404</v>
      </c>
      <c r="C2742" s="958"/>
      <c r="D2742" s="959"/>
      <c r="E2742" s="959"/>
      <c r="F2742" s="960"/>
    </row>
    <row r="2743" spans="1:10" x14ac:dyDescent="0.2">
      <c r="A2743" s="114"/>
      <c r="B2743" s="21" t="s">
        <v>919</v>
      </c>
      <c r="C2743" s="940"/>
      <c r="D2743" s="941"/>
      <c r="E2743" s="941"/>
      <c r="F2743" s="942"/>
    </row>
    <row r="2744" spans="1:10" x14ac:dyDescent="0.2">
      <c r="A2744" s="589"/>
      <c r="B2744" s="590" t="s">
        <v>875</v>
      </c>
      <c r="C2744" s="977"/>
      <c r="D2744" s="961"/>
      <c r="E2744" s="961"/>
      <c r="F2744" s="962"/>
    </row>
    <row r="2745" spans="1:10" x14ac:dyDescent="0.2">
      <c r="A2745" s="114"/>
      <c r="B2745" s="591" t="s">
        <v>920</v>
      </c>
      <c r="C2745" s="946" t="s">
        <v>1179</v>
      </c>
      <c r="D2745" s="947"/>
      <c r="E2745" s="947"/>
      <c r="F2745" s="948"/>
    </row>
    <row r="2746" spans="1:10" x14ac:dyDescent="0.2">
      <c r="A2746" s="593"/>
      <c r="B2746" s="591" t="s">
        <v>792</v>
      </c>
      <c r="C2746" s="927"/>
      <c r="D2746" s="928"/>
      <c r="E2746" s="928"/>
      <c r="F2746" s="929"/>
    </row>
    <row r="2747" spans="1:10" ht="124.5" customHeight="1" x14ac:dyDescent="0.2">
      <c r="A2747" s="734"/>
      <c r="B2747" s="591" t="s">
        <v>546</v>
      </c>
      <c r="C2747" s="976" t="s">
        <v>1180</v>
      </c>
      <c r="D2747" s="950"/>
      <c r="E2747" s="950"/>
      <c r="F2747" s="951"/>
    </row>
    <row r="2748" spans="1:10" ht="31.5" x14ac:dyDescent="0.2">
      <c r="A2748" s="735"/>
      <c r="B2748" s="591" t="s">
        <v>796</v>
      </c>
      <c r="C2748" s="952"/>
      <c r="D2748" s="953"/>
      <c r="E2748" s="953"/>
      <c r="F2748" s="954"/>
    </row>
    <row r="2749" spans="1:10" ht="31.5" x14ac:dyDescent="0.2">
      <c r="A2749" s="760"/>
      <c r="B2749" s="691" t="s">
        <v>798</v>
      </c>
      <c r="C2749" s="930"/>
      <c r="D2749" s="931"/>
      <c r="E2749" s="931"/>
      <c r="F2749" s="932"/>
    </row>
    <row r="2750" spans="1:10" ht="84.75" customHeight="1" x14ac:dyDescent="0.2">
      <c r="A2750" s="804" t="s">
        <v>1181</v>
      </c>
      <c r="B2750" s="805"/>
      <c r="C2750" s="805"/>
      <c r="D2750" s="805"/>
      <c r="E2750" s="805"/>
      <c r="F2750" s="806"/>
      <c r="G2750" s="252">
        <v>0.1</v>
      </c>
      <c r="H2750" s="584">
        <f>D2751-D2751*G2750</f>
        <v>30771609.678000003</v>
      </c>
      <c r="I2750" s="584"/>
      <c r="J2750" s="253">
        <f>H2750-D2752-D2781-D2782</f>
        <v>17626203.097120002</v>
      </c>
    </row>
    <row r="2751" spans="1:10" ht="18.75" x14ac:dyDescent="0.2">
      <c r="A2751" s="173">
        <v>1</v>
      </c>
      <c r="B2751" s="254"/>
      <c r="C2751" s="175"/>
      <c r="D2751" s="798">
        <v>34190677.420000002</v>
      </c>
      <c r="E2751" s="799"/>
      <c r="F2751" s="934"/>
      <c r="G2751" s="252">
        <v>0.15</v>
      </c>
      <c r="H2751" s="584">
        <f>D2751-D2751*G2751</f>
        <v>29062075.807000004</v>
      </c>
      <c r="I2751" s="584"/>
      <c r="J2751" s="253">
        <f>H2751-D2752-D2781-D2782</f>
        <v>15916669.226120003</v>
      </c>
    </row>
    <row r="2752" spans="1:10" ht="18.75" x14ac:dyDescent="0.2">
      <c r="A2752" s="502" t="s">
        <v>1035</v>
      </c>
      <c r="B2752" s="503" t="s">
        <v>677</v>
      </c>
      <c r="C2752" s="504"/>
      <c r="D2752" s="505">
        <f>SUM(D2753:D2756)</f>
        <v>700000</v>
      </c>
      <c r="E2752" s="506"/>
      <c r="F2752" s="607"/>
      <c r="G2752" s="252">
        <v>0.2</v>
      </c>
      <c r="H2752" s="584">
        <f>D2751-D2751*G2752</f>
        <v>27352541.936000001</v>
      </c>
      <c r="I2752" s="584"/>
      <c r="J2752" s="253">
        <f>H2752-D2752-D2781-D2782</f>
        <v>14207135.355119999</v>
      </c>
    </row>
    <row r="2753" spans="1:10" ht="18.75" x14ac:dyDescent="0.2">
      <c r="A2753" s="508" t="s">
        <v>613</v>
      </c>
      <c r="B2753" s="509" t="s">
        <v>353</v>
      </c>
      <c r="C2753" s="510"/>
      <c r="D2753" s="511">
        <v>500000</v>
      </c>
      <c r="E2753" s="512"/>
      <c r="F2753" s="761"/>
      <c r="G2753" s="252">
        <v>0.25</v>
      </c>
      <c r="H2753" s="584">
        <f>D2751-D2751*G2753</f>
        <v>25643008.065000001</v>
      </c>
      <c r="I2753" s="584"/>
      <c r="J2753" s="253">
        <f>H2753-D2752-D2781-D2782</f>
        <v>12497601.48412</v>
      </c>
    </row>
    <row r="2754" spans="1:10" ht="18.75" x14ac:dyDescent="0.2">
      <c r="A2754" s="508" t="s">
        <v>615</v>
      </c>
      <c r="B2754" s="509" t="s">
        <v>681</v>
      </c>
      <c r="C2754" s="510"/>
      <c r="D2754" s="511">
        <v>200000</v>
      </c>
      <c r="E2754" s="512"/>
      <c r="F2754" s="761"/>
      <c r="G2754" s="252">
        <v>0.3</v>
      </c>
      <c r="H2754" s="584">
        <f>D2751-D2751*G2754</f>
        <v>23933474.194000002</v>
      </c>
      <c r="I2754" s="584"/>
      <c r="J2754" s="253">
        <f>H2754-D2752-D2781-D2782</f>
        <v>10788067.613120001</v>
      </c>
    </row>
    <row r="2755" spans="1:10" x14ac:dyDescent="0.2">
      <c r="A2755" s="508" t="s">
        <v>617</v>
      </c>
      <c r="B2755" s="509"/>
      <c r="C2755" s="510"/>
      <c r="D2755" s="511">
        <v>0</v>
      </c>
      <c r="E2755" s="512"/>
      <c r="F2755" s="513"/>
      <c r="G2755" s="719"/>
      <c r="H2755" s="698"/>
      <c r="I2755" s="698"/>
      <c r="J2755" s="615"/>
    </row>
    <row r="2756" spans="1:10" x14ac:dyDescent="0.2">
      <c r="A2756" s="508" t="s">
        <v>619</v>
      </c>
      <c r="B2756" s="509"/>
      <c r="C2756" s="510"/>
      <c r="D2756" s="511">
        <v>0</v>
      </c>
      <c r="E2756" s="512"/>
      <c r="F2756" s="513"/>
    </row>
    <row r="2757" spans="1:10" x14ac:dyDescent="0.2">
      <c r="A2757" s="720" t="s">
        <v>623</v>
      </c>
      <c r="B2757" s="260" t="s">
        <v>1136</v>
      </c>
      <c r="C2757" s="715"/>
      <c r="D2757" s="716">
        <v>1200000</v>
      </c>
      <c r="E2757" s="177"/>
      <c r="F2757" s="178"/>
    </row>
    <row r="2758" spans="1:10" ht="29.25" x14ac:dyDescent="0.2">
      <c r="A2758" s="550" t="s">
        <v>625</v>
      </c>
      <c r="B2758" s="551" t="s">
        <v>394</v>
      </c>
      <c r="C2758" s="552">
        <v>0.4</v>
      </c>
      <c r="D2758" s="553">
        <f>D2751*C2758</f>
        <v>13676270.968000002</v>
      </c>
      <c r="E2758" s="554"/>
      <c r="F2758" s="555"/>
    </row>
    <row r="2759" spans="1:10" ht="30" x14ac:dyDescent="0.2">
      <c r="A2759" s="556" t="s">
        <v>687</v>
      </c>
      <c r="B2759" s="557" t="s">
        <v>748</v>
      </c>
      <c r="C2759" s="558">
        <v>0.12</v>
      </c>
      <c r="D2759" s="559">
        <f>C2759*D2758</f>
        <v>1641152.5161600001</v>
      </c>
      <c r="E2759" s="560"/>
      <c r="F2759" s="561"/>
    </row>
    <row r="2760" spans="1:10" x14ac:dyDescent="0.2">
      <c r="A2760" s="556" t="s">
        <v>689</v>
      </c>
      <c r="B2760" s="557" t="s">
        <v>355</v>
      </c>
      <c r="C2760" s="558">
        <v>7.0000000000000007E-2</v>
      </c>
      <c r="D2760" s="559">
        <f>C2760*D2758</f>
        <v>957338.96776000026</v>
      </c>
      <c r="E2760" s="560"/>
      <c r="F2760" s="561"/>
    </row>
    <row r="2761" spans="1:10" x14ac:dyDescent="0.2">
      <c r="A2761" s="556" t="s">
        <v>691</v>
      </c>
      <c r="B2761" s="557" t="s">
        <v>810</v>
      </c>
      <c r="C2761" s="558">
        <v>0.05</v>
      </c>
      <c r="D2761" s="559">
        <f>D2758*C2761</f>
        <v>683813.5484000002</v>
      </c>
      <c r="E2761" s="561"/>
      <c r="F2761" s="561"/>
    </row>
    <row r="2762" spans="1:10" x14ac:dyDescent="0.2">
      <c r="A2762" s="556" t="s">
        <v>702</v>
      </c>
      <c r="B2762" s="557" t="s">
        <v>1137</v>
      </c>
      <c r="C2762" s="558">
        <v>0.1</v>
      </c>
      <c r="D2762" s="559">
        <f>C2762*D2758</f>
        <v>1367627.0968000004</v>
      </c>
      <c r="E2762" s="560"/>
      <c r="F2762" s="561"/>
    </row>
    <row r="2763" spans="1:10" x14ac:dyDescent="0.2">
      <c r="A2763" s="737" t="s">
        <v>704</v>
      </c>
      <c r="B2763" s="738"/>
      <c r="C2763" s="739">
        <v>0</v>
      </c>
      <c r="D2763" s="740">
        <f>D2758*C2763</f>
        <v>0</v>
      </c>
      <c r="E2763" s="560"/>
      <c r="F2763" s="561"/>
      <c r="G2763" s="299"/>
    </row>
    <row r="2764" spans="1:10" x14ac:dyDescent="0.2">
      <c r="A2764" s="556" t="s">
        <v>751</v>
      </c>
      <c r="B2764" s="557" t="s">
        <v>1138</v>
      </c>
      <c r="C2764" s="558">
        <v>0.1</v>
      </c>
      <c r="D2764" s="559">
        <f>C2764*D2758</f>
        <v>1367627.0968000004</v>
      </c>
      <c r="E2764" s="560"/>
      <c r="F2764" s="601"/>
      <c r="G2764" s="299"/>
    </row>
    <row r="2765" spans="1:10" x14ac:dyDescent="0.2">
      <c r="A2765" s="556" t="s">
        <v>752</v>
      </c>
      <c r="B2765" s="557" t="s">
        <v>1139</v>
      </c>
      <c r="C2765" s="558">
        <v>7.0000000000000007E-2</v>
      </c>
      <c r="D2765" s="559">
        <f>C2765*D2758</f>
        <v>957338.96776000026</v>
      </c>
      <c r="E2765" s="560"/>
      <c r="F2765" s="561"/>
      <c r="G2765" s="299"/>
    </row>
    <row r="2766" spans="1:10" x14ac:dyDescent="0.2">
      <c r="A2766" s="556" t="s">
        <v>753</v>
      </c>
      <c r="B2766" s="562" t="s">
        <v>1140</v>
      </c>
      <c r="C2766" s="563">
        <v>7.0000000000000007E-2</v>
      </c>
      <c r="D2766" s="564">
        <f>D2758*C2766</f>
        <v>957338.96776000026</v>
      </c>
      <c r="E2766" s="565"/>
      <c r="F2766" s="561"/>
      <c r="G2766" s="299"/>
    </row>
    <row r="2767" spans="1:10" x14ac:dyDescent="0.2">
      <c r="A2767" s="737" t="s">
        <v>755</v>
      </c>
      <c r="B2767" s="742"/>
      <c r="C2767" s="743">
        <v>0</v>
      </c>
      <c r="D2767" s="744">
        <f>D2758*C2767</f>
        <v>0</v>
      </c>
      <c r="E2767" s="745"/>
      <c r="F2767" s="746"/>
      <c r="G2767" s="747"/>
      <c r="H2767" s="748"/>
      <c r="I2767" s="748"/>
      <c r="J2767" s="741"/>
    </row>
    <row r="2768" spans="1:10" x14ac:dyDescent="0.2">
      <c r="A2768" s="556" t="s">
        <v>756</v>
      </c>
      <c r="B2768" s="562" t="s">
        <v>1141</v>
      </c>
      <c r="C2768" s="563">
        <v>0.06</v>
      </c>
      <c r="D2768" s="564">
        <f>C2768*D2758</f>
        <v>820576.25808000006</v>
      </c>
      <c r="E2768" s="560"/>
      <c r="F2768" s="561"/>
      <c r="G2768" s="299"/>
    </row>
    <row r="2769" spans="1:7" x14ac:dyDescent="0.2">
      <c r="A2769" s="737" t="s">
        <v>757</v>
      </c>
      <c r="B2769" s="742"/>
      <c r="C2769" s="743">
        <v>0</v>
      </c>
      <c r="D2769" s="744">
        <f>C2769*D2758</f>
        <v>0</v>
      </c>
      <c r="E2769" s="560"/>
      <c r="F2769" s="561"/>
      <c r="G2769" s="299"/>
    </row>
    <row r="2770" spans="1:7" x14ac:dyDescent="0.2">
      <c r="A2770" s="737" t="s">
        <v>758</v>
      </c>
      <c r="B2770" s="742"/>
      <c r="C2770" s="743">
        <v>0</v>
      </c>
      <c r="D2770" s="744">
        <f>C2770*D2758</f>
        <v>0</v>
      </c>
      <c r="E2770" s="560"/>
      <c r="F2770" s="561"/>
      <c r="G2770" s="299"/>
    </row>
    <row r="2771" spans="1:7" x14ac:dyDescent="0.2">
      <c r="A2771" s="556" t="s">
        <v>759</v>
      </c>
      <c r="B2771" s="562" t="s">
        <v>260</v>
      </c>
      <c r="C2771" s="563">
        <v>7.0000000000000007E-2</v>
      </c>
      <c r="D2771" s="564">
        <f>C2771*D2758</f>
        <v>957338.96776000026</v>
      </c>
      <c r="E2771" s="560"/>
      <c r="F2771" s="561"/>
      <c r="G2771" s="299"/>
    </row>
    <row r="2772" spans="1:7" x14ac:dyDescent="0.2">
      <c r="A2772" s="737" t="s">
        <v>760</v>
      </c>
      <c r="B2772" s="742"/>
      <c r="C2772" s="743">
        <v>0</v>
      </c>
      <c r="D2772" s="744">
        <f>C2772*D2758</f>
        <v>0</v>
      </c>
      <c r="E2772" s="560"/>
      <c r="F2772" s="561"/>
      <c r="G2772" s="299"/>
    </row>
    <row r="2773" spans="1:7" x14ac:dyDescent="0.2">
      <c r="A2773" s="737" t="s">
        <v>762</v>
      </c>
      <c r="B2773" s="742"/>
      <c r="C2773" s="743">
        <v>0</v>
      </c>
      <c r="D2773" s="744">
        <f>C2773*D2758</f>
        <v>0</v>
      </c>
      <c r="E2773" s="565"/>
      <c r="F2773" s="561"/>
      <c r="G2773" s="299"/>
    </row>
    <row r="2774" spans="1:7" x14ac:dyDescent="0.2">
      <c r="A2774" s="737" t="s">
        <v>763</v>
      </c>
      <c r="B2774" s="742"/>
      <c r="C2774" s="743">
        <v>0</v>
      </c>
      <c r="D2774" s="744">
        <f>C2774*D2758</f>
        <v>0</v>
      </c>
      <c r="E2774" s="560"/>
      <c r="F2774" s="561"/>
      <c r="G2774" s="299"/>
    </row>
    <row r="2775" spans="1:7" x14ac:dyDescent="0.2">
      <c r="A2775" s="737" t="s">
        <v>764</v>
      </c>
      <c r="B2775" s="742"/>
      <c r="C2775" s="743">
        <v>0</v>
      </c>
      <c r="D2775" s="744">
        <f>C2775*D2758</f>
        <v>0</v>
      </c>
      <c r="E2775" s="560"/>
      <c r="F2775" s="561"/>
      <c r="G2775" s="299"/>
    </row>
    <row r="2776" spans="1:7" x14ac:dyDescent="0.2">
      <c r="A2776" s="556" t="s">
        <v>765</v>
      </c>
      <c r="B2776" s="562" t="s">
        <v>341</v>
      </c>
      <c r="C2776" s="563">
        <v>0.1</v>
      </c>
      <c r="D2776" s="564">
        <f>C2776*D2758</f>
        <v>1367627.0968000004</v>
      </c>
      <c r="E2776" s="565"/>
      <c r="F2776" s="561"/>
      <c r="G2776" s="299"/>
    </row>
    <row r="2777" spans="1:7" ht="45" x14ac:dyDescent="0.2">
      <c r="A2777" s="556" t="s">
        <v>1082</v>
      </c>
      <c r="B2777" s="562" t="s">
        <v>1083</v>
      </c>
      <c r="C2777" s="563">
        <v>0.05</v>
      </c>
      <c r="D2777" s="564">
        <f>C2777*D2758</f>
        <v>683813.5484000002</v>
      </c>
      <c r="E2777" s="566"/>
      <c r="F2777" s="560"/>
      <c r="G2777" s="299"/>
    </row>
    <row r="2778" spans="1:7" x14ac:dyDescent="0.2">
      <c r="A2778" s="737" t="s">
        <v>1084</v>
      </c>
      <c r="B2778" s="742"/>
      <c r="C2778" s="743">
        <v>0</v>
      </c>
      <c r="D2778" s="744">
        <f>C2778*D2758</f>
        <v>0</v>
      </c>
      <c r="E2778" s="566"/>
      <c r="F2778" s="561"/>
      <c r="G2778" s="299"/>
    </row>
    <row r="2779" spans="1:7" x14ac:dyDescent="0.2">
      <c r="A2779" s="525">
        <v>5</v>
      </c>
      <c r="B2779" s="617" t="s">
        <v>859</v>
      </c>
      <c r="C2779" s="527"/>
      <c r="D2779" s="528">
        <f>D2780</f>
        <v>500000</v>
      </c>
      <c r="E2779" s="529"/>
      <c r="F2779" s="530"/>
      <c r="G2779" s="299"/>
    </row>
    <row r="2780" spans="1:7" x14ac:dyDescent="0.2">
      <c r="A2780" s="537" t="s">
        <v>628</v>
      </c>
      <c r="B2780" s="532" t="s">
        <v>980</v>
      </c>
      <c r="C2780" s="533"/>
      <c r="D2780" s="534">
        <v>500000</v>
      </c>
      <c r="E2780" s="535"/>
      <c r="F2780" s="536" t="s">
        <v>862</v>
      </c>
      <c r="G2780" s="299"/>
    </row>
    <row r="2781" spans="1:7" x14ac:dyDescent="0.2">
      <c r="A2781" s="550"/>
      <c r="B2781" s="567" t="s">
        <v>1142</v>
      </c>
      <c r="C2781" s="568">
        <f>SUM(C2759:C2778)</f>
        <v>0.86000000000000021</v>
      </c>
      <c r="D2781" s="569">
        <f>SUM(D2759:D2778)</f>
        <v>11761593.032480001</v>
      </c>
      <c r="E2781" s="570"/>
      <c r="F2781" s="554"/>
    </row>
    <row r="2782" spans="1:7" x14ac:dyDescent="0.2">
      <c r="A2782" s="550"/>
      <c r="B2782" s="567" t="s">
        <v>132</v>
      </c>
      <c r="C2782" s="568">
        <v>0.05</v>
      </c>
      <c r="D2782" s="569">
        <f>C2782*D2758</f>
        <v>683813.5484000002</v>
      </c>
      <c r="E2782" s="570"/>
      <c r="F2782" s="554"/>
    </row>
    <row r="2783" spans="1:7" ht="28.5" x14ac:dyDescent="0.2">
      <c r="A2783" s="550"/>
      <c r="B2783" s="567" t="s">
        <v>308</v>
      </c>
      <c r="C2783" s="568">
        <f>D2783/D2751</f>
        <v>0.56580542706076631</v>
      </c>
      <c r="D2783" s="569">
        <f>D2751-D2752-D2757-D2781-D2782-D2779</f>
        <v>19345270.839120001</v>
      </c>
      <c r="E2783" s="570"/>
      <c r="F2783" s="554"/>
    </row>
    <row r="2784" spans="1:7" ht="28.5" x14ac:dyDescent="0.2">
      <c r="A2784" s="571"/>
      <c r="B2784" s="572" t="s">
        <v>375</v>
      </c>
      <c r="C2784" s="573">
        <f>D2784/D2751</f>
        <v>0.58580542706076633</v>
      </c>
      <c r="D2784" s="574">
        <f>D2783+D2782</f>
        <v>20029084.38752</v>
      </c>
      <c r="E2784" s="575"/>
      <c r="F2784" s="575"/>
    </row>
    <row r="2785" spans="1:10" x14ac:dyDescent="0.2">
      <c r="A2785" s="267"/>
      <c r="B2785" s="174" t="s">
        <v>403</v>
      </c>
      <c r="C2785" s="585">
        <v>46155</v>
      </c>
      <c r="D2785" s="177"/>
      <c r="E2785" s="177"/>
      <c r="F2785" s="177"/>
    </row>
    <row r="2786" spans="1:10" x14ac:dyDescent="0.2">
      <c r="A2786" s="267"/>
      <c r="B2786" s="174" t="s">
        <v>569</v>
      </c>
      <c r="C2786" s="937" t="s">
        <v>1182</v>
      </c>
      <c r="D2786" s="938"/>
      <c r="E2786" s="938"/>
      <c r="F2786" s="939"/>
    </row>
    <row r="2787" spans="1:10" x14ac:dyDescent="0.2">
      <c r="A2787" s="267"/>
      <c r="B2787" s="174" t="s">
        <v>1183</v>
      </c>
      <c r="C2787" s="937" t="s">
        <v>1184</v>
      </c>
      <c r="D2787" s="938"/>
      <c r="E2787" s="938"/>
      <c r="F2787" s="939"/>
    </row>
    <row r="2788" spans="1:10" ht="133.5" customHeight="1" x14ac:dyDescent="0.2">
      <c r="A2788" s="267"/>
      <c r="B2788" s="174" t="s">
        <v>541</v>
      </c>
      <c r="C2788" s="915" t="s">
        <v>1185</v>
      </c>
      <c r="D2788" s="916"/>
      <c r="E2788" s="916"/>
      <c r="F2788" s="917"/>
    </row>
    <row r="2789" spans="1:10" x14ac:dyDescent="0.2">
      <c r="A2789" s="723"/>
      <c r="B2789" s="440" t="s">
        <v>404</v>
      </c>
      <c r="C2789" s="970"/>
      <c r="D2789" s="971"/>
      <c r="E2789" s="971"/>
      <c r="F2789" s="972"/>
    </row>
    <row r="2790" spans="1:10" x14ac:dyDescent="0.2">
      <c r="A2790" s="114"/>
      <c r="B2790" s="21" t="s">
        <v>919</v>
      </c>
      <c r="C2790" s="940" t="s">
        <v>1186</v>
      </c>
      <c r="D2790" s="941"/>
      <c r="E2790" s="941"/>
      <c r="F2790" s="942"/>
    </row>
    <row r="2791" spans="1:10" x14ac:dyDescent="0.2">
      <c r="A2791" s="589"/>
      <c r="B2791" s="590" t="s">
        <v>875</v>
      </c>
      <c r="C2791" s="943"/>
      <c r="D2791" s="944"/>
      <c r="E2791" s="944"/>
      <c r="F2791" s="945"/>
    </row>
    <row r="2792" spans="1:10" x14ac:dyDescent="0.2">
      <c r="A2792" s="114"/>
      <c r="B2792" s="591" t="s">
        <v>1146</v>
      </c>
      <c r="C2792" s="946">
        <v>46386</v>
      </c>
      <c r="D2792" s="947"/>
      <c r="E2792" s="947"/>
      <c r="F2792" s="948"/>
    </row>
    <row r="2793" spans="1:10" x14ac:dyDescent="0.2">
      <c r="A2793" s="593"/>
      <c r="B2793" s="591" t="s">
        <v>792</v>
      </c>
      <c r="C2793" s="927"/>
      <c r="D2793" s="928"/>
      <c r="E2793" s="928"/>
      <c r="F2793" s="929"/>
    </row>
    <row r="2794" spans="1:10" x14ac:dyDescent="0.2">
      <c r="A2794" s="762"/>
      <c r="B2794" s="591" t="s">
        <v>546</v>
      </c>
      <c r="C2794" s="930"/>
      <c r="D2794" s="931"/>
      <c r="E2794" s="931"/>
      <c r="F2794" s="932"/>
    </row>
    <row r="2795" spans="1:10" ht="31.5" x14ac:dyDescent="0.2">
      <c r="A2795" s="735"/>
      <c r="B2795" s="763" t="s">
        <v>796</v>
      </c>
      <c r="C2795" s="973"/>
      <c r="D2795" s="974"/>
      <c r="E2795" s="974"/>
      <c r="F2795" s="975"/>
    </row>
    <row r="2796" spans="1:10" ht="31.5" x14ac:dyDescent="0.2">
      <c r="A2796" s="760"/>
      <c r="B2796" s="691" t="s">
        <v>798</v>
      </c>
      <c r="C2796" s="930"/>
      <c r="D2796" s="931"/>
      <c r="E2796" s="931"/>
      <c r="F2796" s="932"/>
    </row>
    <row r="2797" spans="1:10" ht="96.75" customHeight="1" x14ac:dyDescent="0.2">
      <c r="A2797" s="804" t="s">
        <v>1187</v>
      </c>
      <c r="B2797" s="805"/>
      <c r="C2797" s="805"/>
      <c r="D2797" s="805"/>
      <c r="E2797" s="805"/>
      <c r="F2797" s="806"/>
      <c r="G2797" s="252">
        <v>0.1</v>
      </c>
      <c r="H2797" s="584">
        <f>D2798-D2798*G2797</f>
        <v>2176128</v>
      </c>
      <c r="I2797" s="584"/>
      <c r="J2797" s="253">
        <f>H2797-D2799-D2828-D2829</f>
        <v>596005.12</v>
      </c>
    </row>
    <row r="2798" spans="1:10" ht="18.75" x14ac:dyDescent="0.2">
      <c r="A2798" s="173">
        <v>1</v>
      </c>
      <c r="B2798" s="254"/>
      <c r="C2798" s="175"/>
      <c r="D2798" s="798">
        <v>2417920</v>
      </c>
      <c r="E2798" s="799"/>
      <c r="F2798" s="934"/>
      <c r="G2798" s="252">
        <v>0.15</v>
      </c>
      <c r="H2798" s="584">
        <f>D2798-D2798*G2798</f>
        <v>2055232</v>
      </c>
      <c r="I2798" s="584"/>
      <c r="J2798" s="253">
        <f>H2798-D2799-D2828-D2829</f>
        <v>475109.12</v>
      </c>
    </row>
    <row r="2799" spans="1:10" ht="18.75" x14ac:dyDescent="0.2">
      <c r="A2799" s="502" t="s">
        <v>1035</v>
      </c>
      <c r="B2799" s="503" t="s">
        <v>677</v>
      </c>
      <c r="C2799" s="504"/>
      <c r="D2799" s="505">
        <f>SUM(D2800:D2803)</f>
        <v>700000</v>
      </c>
      <c r="E2799" s="506"/>
      <c r="F2799" s="607"/>
      <c r="G2799" s="252">
        <v>0.2</v>
      </c>
      <c r="H2799" s="584">
        <f>D2798-D2798*G2799</f>
        <v>1934336</v>
      </c>
      <c r="I2799" s="584"/>
      <c r="J2799" s="253">
        <f>H2799-D2799-D2828-D2829</f>
        <v>354213.12</v>
      </c>
    </row>
    <row r="2800" spans="1:10" ht="18.75" x14ac:dyDescent="0.2">
      <c r="A2800" s="508" t="s">
        <v>613</v>
      </c>
      <c r="B2800" s="509" t="s">
        <v>353</v>
      </c>
      <c r="C2800" s="510"/>
      <c r="D2800" s="511">
        <v>500000</v>
      </c>
      <c r="E2800" s="512"/>
      <c r="F2800" s="764"/>
      <c r="G2800" s="252">
        <v>0.25</v>
      </c>
      <c r="H2800" s="584">
        <f>D2798-D2798*G2800</f>
        <v>1813440</v>
      </c>
      <c r="I2800" s="584"/>
      <c r="J2800" s="253">
        <f>H2800-D2799-D2828-D2829</f>
        <v>233317.12000000002</v>
      </c>
    </row>
    <row r="2801" spans="1:10" ht="18.75" x14ac:dyDescent="0.2">
      <c r="A2801" s="508" t="s">
        <v>615</v>
      </c>
      <c r="B2801" s="509" t="s">
        <v>681</v>
      </c>
      <c r="C2801" s="510"/>
      <c r="D2801" s="511">
        <v>200000</v>
      </c>
      <c r="E2801" s="512"/>
      <c r="F2801" s="764"/>
      <c r="G2801" s="252">
        <v>0.3</v>
      </c>
      <c r="H2801" s="584">
        <f>D2798-D2798*G2801</f>
        <v>1692544</v>
      </c>
      <c r="I2801" s="584"/>
      <c r="J2801" s="253">
        <f>H2801-D2799-D2828-D2829</f>
        <v>112421.12000000002</v>
      </c>
    </row>
    <row r="2802" spans="1:10" x14ac:dyDescent="0.2">
      <c r="A2802" s="508" t="s">
        <v>617</v>
      </c>
      <c r="B2802" s="509"/>
      <c r="C2802" s="510"/>
      <c r="D2802" s="511">
        <v>0</v>
      </c>
      <c r="E2802" s="512"/>
      <c r="F2802" s="513"/>
      <c r="G2802" s="719"/>
      <c r="H2802" s="698"/>
      <c r="I2802" s="698"/>
      <c r="J2802" s="615"/>
    </row>
    <row r="2803" spans="1:10" x14ac:dyDescent="0.2">
      <c r="A2803" s="508" t="s">
        <v>619</v>
      </c>
      <c r="B2803" s="509"/>
      <c r="C2803" s="510"/>
      <c r="D2803" s="511">
        <v>0</v>
      </c>
      <c r="E2803" s="512"/>
      <c r="F2803" s="513"/>
    </row>
    <row r="2804" spans="1:10" x14ac:dyDescent="0.2">
      <c r="A2804" s="720" t="s">
        <v>623</v>
      </c>
      <c r="B2804" s="260" t="s">
        <v>1136</v>
      </c>
      <c r="C2804" s="715"/>
      <c r="D2804" s="716">
        <v>1200000</v>
      </c>
      <c r="E2804" s="177"/>
      <c r="F2804" s="178"/>
    </row>
    <row r="2805" spans="1:10" ht="29.25" x14ac:dyDescent="0.2">
      <c r="A2805" s="550" t="s">
        <v>625</v>
      </c>
      <c r="B2805" s="551" t="s">
        <v>394</v>
      </c>
      <c r="C2805" s="552">
        <v>0.4</v>
      </c>
      <c r="D2805" s="553">
        <f>D2798*C2805</f>
        <v>967168</v>
      </c>
      <c r="E2805" s="554"/>
      <c r="F2805" s="555"/>
    </row>
    <row r="2806" spans="1:10" ht="30" x14ac:dyDescent="0.2">
      <c r="A2806" s="556" t="s">
        <v>687</v>
      </c>
      <c r="B2806" s="557" t="s">
        <v>748</v>
      </c>
      <c r="C2806" s="558">
        <v>0.12</v>
      </c>
      <c r="D2806" s="559">
        <f>C2806*D2805</f>
        <v>116060.15999999999</v>
      </c>
      <c r="E2806" s="560"/>
      <c r="F2806" s="561"/>
    </row>
    <row r="2807" spans="1:10" x14ac:dyDescent="0.2">
      <c r="A2807" s="556" t="s">
        <v>689</v>
      </c>
      <c r="B2807" s="557" t="s">
        <v>355</v>
      </c>
      <c r="C2807" s="558">
        <v>7.0000000000000007E-2</v>
      </c>
      <c r="D2807" s="559">
        <f>C2807*D2805</f>
        <v>67701.760000000009</v>
      </c>
      <c r="E2807" s="560"/>
      <c r="F2807" s="561"/>
    </row>
    <row r="2808" spans="1:10" x14ac:dyDescent="0.2">
      <c r="A2808" s="556" t="s">
        <v>691</v>
      </c>
      <c r="B2808" s="557" t="s">
        <v>810</v>
      </c>
      <c r="C2808" s="558">
        <v>0.05</v>
      </c>
      <c r="D2808" s="559">
        <f>D2805*C2808</f>
        <v>48358.400000000001</v>
      </c>
      <c r="E2808" s="561"/>
      <c r="F2808" s="561"/>
    </row>
    <row r="2809" spans="1:10" x14ac:dyDescent="0.2">
      <c r="A2809" s="556" t="s">
        <v>702</v>
      </c>
      <c r="B2809" s="557" t="s">
        <v>1137</v>
      </c>
      <c r="C2809" s="558">
        <v>0.1</v>
      </c>
      <c r="D2809" s="559">
        <f>C2809*D2805</f>
        <v>96716.800000000003</v>
      </c>
      <c r="E2809" s="560"/>
      <c r="F2809" s="561"/>
    </row>
    <row r="2810" spans="1:10" x14ac:dyDescent="0.2">
      <c r="A2810" s="737" t="s">
        <v>704</v>
      </c>
      <c r="B2810" s="738"/>
      <c r="C2810" s="739">
        <v>0</v>
      </c>
      <c r="D2810" s="740">
        <f>D2805*C2810</f>
        <v>0</v>
      </c>
      <c r="E2810" s="560"/>
      <c r="F2810" s="561"/>
      <c r="G2810" s="299"/>
    </row>
    <row r="2811" spans="1:10" x14ac:dyDescent="0.2">
      <c r="A2811" s="556" t="s">
        <v>751</v>
      </c>
      <c r="B2811" s="557" t="s">
        <v>1138</v>
      </c>
      <c r="C2811" s="558">
        <v>0.1</v>
      </c>
      <c r="D2811" s="559">
        <f>C2811*D2805</f>
        <v>96716.800000000003</v>
      </c>
      <c r="E2811" s="560"/>
      <c r="F2811" s="601"/>
      <c r="G2811" s="299"/>
    </row>
    <row r="2812" spans="1:10" x14ac:dyDescent="0.2">
      <c r="A2812" s="556" t="s">
        <v>752</v>
      </c>
      <c r="B2812" s="557" t="s">
        <v>1139</v>
      </c>
      <c r="C2812" s="558">
        <v>7.0000000000000007E-2</v>
      </c>
      <c r="D2812" s="559">
        <f>C2812*D2805</f>
        <v>67701.760000000009</v>
      </c>
      <c r="E2812" s="560"/>
      <c r="F2812" s="561"/>
      <c r="G2812" s="299"/>
    </row>
    <row r="2813" spans="1:10" x14ac:dyDescent="0.2">
      <c r="A2813" s="556" t="s">
        <v>753</v>
      </c>
      <c r="B2813" s="562" t="s">
        <v>1140</v>
      </c>
      <c r="C2813" s="563">
        <v>7.0000000000000007E-2</v>
      </c>
      <c r="D2813" s="564">
        <f>D2805*C2813</f>
        <v>67701.760000000009</v>
      </c>
      <c r="E2813" s="565"/>
      <c r="F2813" s="561"/>
      <c r="G2813" s="299"/>
    </row>
    <row r="2814" spans="1:10" x14ac:dyDescent="0.2">
      <c r="A2814" s="737" t="s">
        <v>755</v>
      </c>
      <c r="B2814" s="742"/>
      <c r="C2814" s="743">
        <v>0</v>
      </c>
      <c r="D2814" s="744">
        <f>D2805*C2814</f>
        <v>0</v>
      </c>
      <c r="E2814" s="745"/>
      <c r="F2814" s="746"/>
      <c r="G2814" s="747"/>
      <c r="H2814" s="748"/>
      <c r="I2814" s="748"/>
      <c r="J2814" s="741"/>
    </row>
    <row r="2815" spans="1:10" x14ac:dyDescent="0.2">
      <c r="A2815" s="556" t="s">
        <v>756</v>
      </c>
      <c r="B2815" s="562" t="s">
        <v>1141</v>
      </c>
      <c r="C2815" s="563">
        <v>0.06</v>
      </c>
      <c r="D2815" s="564">
        <f>C2815*D2805</f>
        <v>58030.079999999994</v>
      </c>
      <c r="E2815" s="560"/>
      <c r="F2815" s="561"/>
      <c r="G2815" s="299"/>
    </row>
    <row r="2816" spans="1:10" x14ac:dyDescent="0.2">
      <c r="A2816" s="737" t="s">
        <v>757</v>
      </c>
      <c r="B2816" s="742"/>
      <c r="C2816" s="743">
        <v>0</v>
      </c>
      <c r="D2816" s="744">
        <f>C2816*D2805</f>
        <v>0</v>
      </c>
      <c r="E2816" s="560"/>
      <c r="F2816" s="561"/>
      <c r="G2816" s="299"/>
    </row>
    <row r="2817" spans="1:7" x14ac:dyDescent="0.2">
      <c r="A2817" s="737" t="s">
        <v>758</v>
      </c>
      <c r="B2817" s="742"/>
      <c r="C2817" s="743">
        <v>0</v>
      </c>
      <c r="D2817" s="744">
        <f>C2817*D2805</f>
        <v>0</v>
      </c>
      <c r="E2817" s="560"/>
      <c r="F2817" s="561"/>
      <c r="G2817" s="299"/>
    </row>
    <row r="2818" spans="1:7" x14ac:dyDescent="0.2">
      <c r="A2818" s="556" t="s">
        <v>759</v>
      </c>
      <c r="B2818" s="562" t="s">
        <v>260</v>
      </c>
      <c r="C2818" s="563">
        <v>7.0000000000000007E-2</v>
      </c>
      <c r="D2818" s="564">
        <f>C2818*D2805</f>
        <v>67701.760000000009</v>
      </c>
      <c r="E2818" s="560"/>
      <c r="F2818" s="561"/>
      <c r="G2818" s="299"/>
    </row>
    <row r="2819" spans="1:7" x14ac:dyDescent="0.2">
      <c r="A2819" s="737" t="s">
        <v>760</v>
      </c>
      <c r="B2819" s="742"/>
      <c r="C2819" s="743">
        <v>0</v>
      </c>
      <c r="D2819" s="744">
        <f>C2819*D2805</f>
        <v>0</v>
      </c>
      <c r="E2819" s="560"/>
      <c r="F2819" s="561"/>
      <c r="G2819" s="299"/>
    </row>
    <row r="2820" spans="1:7" x14ac:dyDescent="0.2">
      <c r="A2820" s="737" t="s">
        <v>762</v>
      </c>
      <c r="B2820" s="742"/>
      <c r="C2820" s="743">
        <v>0</v>
      </c>
      <c r="D2820" s="744">
        <f>C2820*D2805</f>
        <v>0</v>
      </c>
      <c r="E2820" s="565"/>
      <c r="F2820" s="561"/>
      <c r="G2820" s="299"/>
    </row>
    <row r="2821" spans="1:7" x14ac:dyDescent="0.2">
      <c r="A2821" s="737" t="s">
        <v>763</v>
      </c>
      <c r="B2821" s="742"/>
      <c r="C2821" s="743">
        <v>0</v>
      </c>
      <c r="D2821" s="744">
        <f>C2821*D2805</f>
        <v>0</v>
      </c>
      <c r="E2821" s="560"/>
      <c r="F2821" s="561"/>
      <c r="G2821" s="299"/>
    </row>
    <row r="2822" spans="1:7" x14ac:dyDescent="0.2">
      <c r="A2822" s="737" t="s">
        <v>764</v>
      </c>
      <c r="B2822" s="742"/>
      <c r="C2822" s="743">
        <v>0</v>
      </c>
      <c r="D2822" s="744">
        <f>C2822*D2805</f>
        <v>0</v>
      </c>
      <c r="E2822" s="560"/>
      <c r="F2822" s="561"/>
      <c r="G2822" s="299"/>
    </row>
    <row r="2823" spans="1:7" x14ac:dyDescent="0.2">
      <c r="A2823" s="556" t="s">
        <v>765</v>
      </c>
      <c r="B2823" s="562" t="s">
        <v>341</v>
      </c>
      <c r="C2823" s="563">
        <v>0.1</v>
      </c>
      <c r="D2823" s="564">
        <f>C2823*D2805</f>
        <v>96716.800000000003</v>
      </c>
      <c r="E2823" s="565"/>
      <c r="F2823" s="561"/>
      <c r="G2823" s="299"/>
    </row>
    <row r="2824" spans="1:7" ht="45" x14ac:dyDescent="0.2">
      <c r="A2824" s="556" t="s">
        <v>1082</v>
      </c>
      <c r="B2824" s="562" t="s">
        <v>1083</v>
      </c>
      <c r="C2824" s="563">
        <v>0.05</v>
      </c>
      <c r="D2824" s="564">
        <f>C2824*D2805</f>
        <v>48358.400000000001</v>
      </c>
      <c r="E2824" s="566"/>
      <c r="F2824" s="560"/>
      <c r="G2824" s="299"/>
    </row>
    <row r="2825" spans="1:7" x14ac:dyDescent="0.2">
      <c r="A2825" s="737" t="s">
        <v>1084</v>
      </c>
      <c r="B2825" s="742"/>
      <c r="C2825" s="743">
        <v>0</v>
      </c>
      <c r="D2825" s="744">
        <f>C2825*D2805</f>
        <v>0</v>
      </c>
      <c r="E2825" s="566"/>
      <c r="F2825" s="561"/>
      <c r="G2825" s="299"/>
    </row>
    <row r="2826" spans="1:7" x14ac:dyDescent="0.2">
      <c r="A2826" s="525">
        <v>5</v>
      </c>
      <c r="B2826" s="617" t="s">
        <v>859</v>
      </c>
      <c r="C2826" s="527"/>
      <c r="D2826" s="528">
        <f>D2827</f>
        <v>500000</v>
      </c>
      <c r="E2826" s="529"/>
      <c r="F2826" s="530"/>
      <c r="G2826" s="299"/>
    </row>
    <row r="2827" spans="1:7" x14ac:dyDescent="0.2">
      <c r="A2827" s="537" t="s">
        <v>628</v>
      </c>
      <c r="B2827" s="532" t="s">
        <v>980</v>
      </c>
      <c r="C2827" s="533"/>
      <c r="D2827" s="534">
        <v>500000</v>
      </c>
      <c r="E2827" s="535"/>
      <c r="F2827" s="536" t="s">
        <v>862</v>
      </c>
      <c r="G2827" s="299"/>
    </row>
    <row r="2828" spans="1:7" x14ac:dyDescent="0.2">
      <c r="A2828" s="550"/>
      <c r="B2828" s="567" t="s">
        <v>1142</v>
      </c>
      <c r="C2828" s="568">
        <f>SUM(C2806:C2825)</f>
        <v>0.86000000000000021</v>
      </c>
      <c r="D2828" s="569">
        <f>SUM(D2806:D2825)</f>
        <v>831764.47999999998</v>
      </c>
      <c r="E2828" s="570"/>
      <c r="F2828" s="554"/>
    </row>
    <row r="2829" spans="1:7" x14ac:dyDescent="0.2">
      <c r="A2829" s="550"/>
      <c r="B2829" s="567" t="s">
        <v>132</v>
      </c>
      <c r="C2829" s="568">
        <v>0.05</v>
      </c>
      <c r="D2829" s="569">
        <f>C2829*D2805</f>
        <v>48358.400000000001</v>
      </c>
      <c r="E2829" s="570"/>
      <c r="F2829" s="554"/>
    </row>
    <row r="2830" spans="1:7" ht="28.5" x14ac:dyDescent="0.2">
      <c r="A2830" s="550"/>
      <c r="B2830" s="567" t="s">
        <v>308</v>
      </c>
      <c r="C2830" s="568">
        <f>D2830/D2798</f>
        <v>-0.35658867125463206</v>
      </c>
      <c r="D2830" s="569">
        <f>D2798-D2799-D2804-D2828-D2829-D2826</f>
        <v>-862202.88</v>
      </c>
      <c r="E2830" s="570"/>
      <c r="F2830" s="554"/>
    </row>
    <row r="2831" spans="1:7" ht="28.5" x14ac:dyDescent="0.2">
      <c r="A2831" s="571"/>
      <c r="B2831" s="572" t="s">
        <v>375</v>
      </c>
      <c r="C2831" s="573">
        <f>D2831/D2798</f>
        <v>-0.3365886712546321</v>
      </c>
      <c r="D2831" s="574">
        <f>D2830+D2829</f>
        <v>-813844.47999999998</v>
      </c>
      <c r="E2831" s="575"/>
      <c r="F2831" s="575"/>
    </row>
    <row r="2832" spans="1:7" x14ac:dyDescent="0.2">
      <c r="A2832" s="267"/>
      <c r="B2832" s="174" t="s">
        <v>403</v>
      </c>
      <c r="C2832" s="585">
        <v>46156</v>
      </c>
      <c r="D2832" s="177"/>
      <c r="E2832" s="177"/>
      <c r="F2832" s="177"/>
    </row>
    <row r="2833" spans="1:10" x14ac:dyDescent="0.2">
      <c r="A2833" s="267"/>
      <c r="B2833" s="174" t="s">
        <v>569</v>
      </c>
      <c r="C2833" s="937"/>
      <c r="D2833" s="938"/>
      <c r="E2833" s="938"/>
      <c r="F2833" s="939"/>
    </row>
    <row r="2834" spans="1:10" x14ac:dyDescent="0.2">
      <c r="A2834" s="267"/>
      <c r="B2834" s="174" t="s">
        <v>1183</v>
      </c>
      <c r="C2834" s="937" t="s">
        <v>1188</v>
      </c>
      <c r="D2834" s="938"/>
      <c r="E2834" s="938"/>
      <c r="F2834" s="939"/>
    </row>
    <row r="2835" spans="1:10" ht="38.25" customHeight="1" x14ac:dyDescent="0.2">
      <c r="A2835" s="267"/>
      <c r="B2835" s="174" t="s">
        <v>541</v>
      </c>
      <c r="C2835" s="915"/>
      <c r="D2835" s="916"/>
      <c r="E2835" s="916"/>
      <c r="F2835" s="917"/>
    </row>
    <row r="2836" spans="1:10" x14ac:dyDescent="0.2">
      <c r="A2836" s="588"/>
      <c r="B2836" s="459" t="s">
        <v>404</v>
      </c>
      <c r="C2836" s="918"/>
      <c r="D2836" s="919"/>
      <c r="E2836" s="919"/>
      <c r="F2836" s="920"/>
    </row>
    <row r="2837" spans="1:10" x14ac:dyDescent="0.2">
      <c r="A2837" s="114"/>
      <c r="B2837" s="21" t="s">
        <v>919</v>
      </c>
      <c r="C2837" s="940"/>
      <c r="D2837" s="941"/>
      <c r="E2837" s="941"/>
      <c r="F2837" s="942"/>
    </row>
    <row r="2838" spans="1:10" x14ac:dyDescent="0.2">
      <c r="A2838" s="589"/>
      <c r="B2838" s="590" t="s">
        <v>875</v>
      </c>
      <c r="C2838" s="943"/>
      <c r="D2838" s="944"/>
      <c r="E2838" s="944"/>
      <c r="F2838" s="945"/>
    </row>
    <row r="2839" spans="1:10" x14ac:dyDescent="0.2">
      <c r="A2839" s="114"/>
      <c r="B2839" s="591" t="s">
        <v>1146</v>
      </c>
      <c r="C2839" s="946"/>
      <c r="D2839" s="947"/>
      <c r="E2839" s="947"/>
      <c r="F2839" s="948"/>
    </row>
    <row r="2840" spans="1:10" x14ac:dyDescent="0.2">
      <c r="A2840" s="593"/>
      <c r="B2840" s="591" t="s">
        <v>792</v>
      </c>
      <c r="C2840" s="927"/>
      <c r="D2840" s="928"/>
      <c r="E2840" s="928"/>
      <c r="F2840" s="929"/>
    </row>
    <row r="2841" spans="1:10" x14ac:dyDescent="0.2">
      <c r="A2841" s="765"/>
      <c r="B2841" s="591" t="s">
        <v>546</v>
      </c>
      <c r="C2841" s="963"/>
      <c r="D2841" s="964"/>
      <c r="E2841" s="964"/>
      <c r="F2841" s="965"/>
    </row>
    <row r="2842" spans="1:10" ht="31.5" x14ac:dyDescent="0.2">
      <c r="A2842" s="735"/>
      <c r="B2842" s="766" t="s">
        <v>796</v>
      </c>
      <c r="C2842" s="966"/>
      <c r="D2842" s="967"/>
      <c r="E2842" s="967"/>
      <c r="F2842" s="968"/>
    </row>
    <row r="2843" spans="1:10" ht="31.5" x14ac:dyDescent="0.2">
      <c r="A2843" s="760"/>
      <c r="B2843" s="691" t="s">
        <v>798</v>
      </c>
      <c r="C2843" s="930"/>
      <c r="D2843" s="931"/>
      <c r="E2843" s="931"/>
      <c r="F2843" s="932"/>
    </row>
    <row r="2844" spans="1:10" ht="96" customHeight="1" x14ac:dyDescent="0.2">
      <c r="A2844" s="804" t="s">
        <v>1189</v>
      </c>
      <c r="B2844" s="805"/>
      <c r="C2844" s="805"/>
      <c r="D2844" s="805"/>
      <c r="E2844" s="805"/>
      <c r="F2844" s="806"/>
      <c r="G2844" s="252">
        <v>0.1</v>
      </c>
      <c r="H2844" s="584">
        <f>D2845-D2845*G2844</f>
        <v>2197800</v>
      </c>
      <c r="I2844" s="584"/>
      <c r="J2844" s="253">
        <f>H2844-D2846-D2875-D2876</f>
        <v>608912</v>
      </c>
    </row>
    <row r="2845" spans="1:10" ht="18.75" x14ac:dyDescent="0.2">
      <c r="A2845" s="173">
        <v>1</v>
      </c>
      <c r="B2845" s="254"/>
      <c r="C2845" s="175"/>
      <c r="D2845" s="798">
        <v>2442000</v>
      </c>
      <c r="E2845" s="799"/>
      <c r="F2845" s="934"/>
      <c r="G2845" s="252">
        <v>0.15</v>
      </c>
      <c r="H2845" s="584">
        <f>D2845-D2845*G2845</f>
        <v>2075700</v>
      </c>
      <c r="I2845" s="584"/>
      <c r="J2845" s="253">
        <f>H2845-D2846-D2875-D2876</f>
        <v>486812</v>
      </c>
    </row>
    <row r="2846" spans="1:10" ht="18.75" x14ac:dyDescent="0.2">
      <c r="A2846" s="502" t="s">
        <v>1035</v>
      </c>
      <c r="B2846" s="503" t="s">
        <v>677</v>
      </c>
      <c r="C2846" s="504"/>
      <c r="D2846" s="505">
        <f>SUM(D2847:D2850)</f>
        <v>700000</v>
      </c>
      <c r="E2846" s="506"/>
      <c r="F2846" s="607"/>
      <c r="G2846" s="252">
        <v>0.2</v>
      </c>
      <c r="H2846" s="584">
        <f>D2845-D2845*G2846</f>
        <v>1953600</v>
      </c>
      <c r="I2846" s="584"/>
      <c r="J2846" s="253">
        <f>H2846-D2846-D2875-D2876</f>
        <v>364712</v>
      </c>
    </row>
    <row r="2847" spans="1:10" ht="18.75" x14ac:dyDescent="0.2">
      <c r="A2847" s="508" t="s">
        <v>613</v>
      </c>
      <c r="B2847" s="509" t="s">
        <v>353</v>
      </c>
      <c r="C2847" s="510"/>
      <c r="D2847" s="511">
        <v>500000</v>
      </c>
      <c r="E2847" s="512"/>
      <c r="F2847" s="764"/>
      <c r="G2847" s="252">
        <v>0.25</v>
      </c>
      <c r="H2847" s="584">
        <f>D2845-D2845*G2847</f>
        <v>1831500</v>
      </c>
      <c r="I2847" s="584"/>
      <c r="J2847" s="253">
        <f>H2847-D2846-D2875-D2876</f>
        <v>242612</v>
      </c>
    </row>
    <row r="2848" spans="1:10" ht="18.75" x14ac:dyDescent="0.2">
      <c r="A2848" s="508" t="s">
        <v>615</v>
      </c>
      <c r="B2848" s="509" t="s">
        <v>681</v>
      </c>
      <c r="C2848" s="510"/>
      <c r="D2848" s="511">
        <v>200000</v>
      </c>
      <c r="E2848" s="512"/>
      <c r="F2848" s="764"/>
      <c r="G2848" s="252">
        <v>0.3</v>
      </c>
      <c r="H2848" s="584">
        <f>D2845-D2845*G2848</f>
        <v>1709400</v>
      </c>
      <c r="I2848" s="584"/>
      <c r="J2848" s="253">
        <f>H2848-D2846-D2875-D2876</f>
        <v>120512</v>
      </c>
    </row>
    <row r="2849" spans="1:10" x14ac:dyDescent="0.2">
      <c r="A2849" s="508" t="s">
        <v>617</v>
      </c>
      <c r="B2849" s="509"/>
      <c r="C2849" s="510"/>
      <c r="D2849" s="511">
        <v>0</v>
      </c>
      <c r="E2849" s="512"/>
      <c r="F2849" s="513"/>
      <c r="G2849" s="719"/>
      <c r="H2849" s="698"/>
      <c r="I2849" s="698"/>
      <c r="J2849" s="615"/>
    </row>
    <row r="2850" spans="1:10" x14ac:dyDescent="0.2">
      <c r="A2850" s="508" t="s">
        <v>619</v>
      </c>
      <c r="B2850" s="509"/>
      <c r="C2850" s="510"/>
      <c r="D2850" s="511">
        <v>0</v>
      </c>
      <c r="E2850" s="512"/>
      <c r="F2850" s="513"/>
    </row>
    <row r="2851" spans="1:10" x14ac:dyDescent="0.2">
      <c r="A2851" s="720" t="s">
        <v>623</v>
      </c>
      <c r="B2851" s="260" t="s">
        <v>1136</v>
      </c>
      <c r="C2851" s="715"/>
      <c r="D2851" s="716">
        <v>1200000</v>
      </c>
      <c r="E2851" s="177"/>
      <c r="F2851" s="178"/>
    </row>
    <row r="2852" spans="1:10" ht="29.25" x14ac:dyDescent="0.2">
      <c r="A2852" s="550" t="s">
        <v>625</v>
      </c>
      <c r="B2852" s="551" t="s">
        <v>394</v>
      </c>
      <c r="C2852" s="552">
        <v>0.4</v>
      </c>
      <c r="D2852" s="553">
        <f>D2845*C2852</f>
        <v>976800</v>
      </c>
      <c r="E2852" s="554"/>
      <c r="F2852" s="555"/>
    </row>
    <row r="2853" spans="1:10" ht="30" x14ac:dyDescent="0.2">
      <c r="A2853" s="556" t="s">
        <v>687</v>
      </c>
      <c r="B2853" s="557" t="s">
        <v>748</v>
      </c>
      <c r="C2853" s="558">
        <v>0.12</v>
      </c>
      <c r="D2853" s="559">
        <f>C2853*D2852</f>
        <v>117216</v>
      </c>
      <c r="E2853" s="560"/>
      <c r="F2853" s="561"/>
    </row>
    <row r="2854" spans="1:10" x14ac:dyDescent="0.2">
      <c r="A2854" s="556" t="s">
        <v>689</v>
      </c>
      <c r="B2854" s="557" t="s">
        <v>355</v>
      </c>
      <c r="C2854" s="558">
        <v>7.0000000000000007E-2</v>
      </c>
      <c r="D2854" s="559">
        <f>C2854*D2852</f>
        <v>68376</v>
      </c>
      <c r="E2854" s="560"/>
      <c r="F2854" s="561"/>
    </row>
    <row r="2855" spans="1:10" x14ac:dyDescent="0.2">
      <c r="A2855" s="556" t="s">
        <v>691</v>
      </c>
      <c r="B2855" s="557" t="s">
        <v>810</v>
      </c>
      <c r="C2855" s="558">
        <v>0.05</v>
      </c>
      <c r="D2855" s="559">
        <f>D2852*C2855</f>
        <v>48840</v>
      </c>
      <c r="E2855" s="561"/>
      <c r="F2855" s="561"/>
    </row>
    <row r="2856" spans="1:10" x14ac:dyDescent="0.2">
      <c r="A2856" s="556" t="s">
        <v>702</v>
      </c>
      <c r="B2856" s="557" t="s">
        <v>1137</v>
      </c>
      <c r="C2856" s="558">
        <v>0.1</v>
      </c>
      <c r="D2856" s="559">
        <f>C2856*D2852</f>
        <v>97680</v>
      </c>
      <c r="E2856" s="560"/>
      <c r="F2856" s="561"/>
    </row>
    <row r="2857" spans="1:10" x14ac:dyDescent="0.2">
      <c r="A2857" s="737" t="s">
        <v>704</v>
      </c>
      <c r="B2857" s="738"/>
      <c r="C2857" s="739">
        <v>0</v>
      </c>
      <c r="D2857" s="740">
        <f>D2852*C2857</f>
        <v>0</v>
      </c>
      <c r="E2857" s="560"/>
      <c r="F2857" s="561"/>
      <c r="G2857" s="299"/>
    </row>
    <row r="2858" spans="1:10" x14ac:dyDescent="0.2">
      <c r="A2858" s="556" t="s">
        <v>751</v>
      </c>
      <c r="B2858" s="557" t="s">
        <v>1138</v>
      </c>
      <c r="C2858" s="558">
        <v>0.1</v>
      </c>
      <c r="D2858" s="559">
        <f>C2858*D2852</f>
        <v>97680</v>
      </c>
      <c r="E2858" s="560"/>
      <c r="F2858" s="601"/>
      <c r="G2858" s="299"/>
    </row>
    <row r="2859" spans="1:10" x14ac:dyDescent="0.2">
      <c r="A2859" s="556" t="s">
        <v>752</v>
      </c>
      <c r="B2859" s="557" t="s">
        <v>1139</v>
      </c>
      <c r="C2859" s="558">
        <v>7.0000000000000007E-2</v>
      </c>
      <c r="D2859" s="559">
        <f>C2859*D2852</f>
        <v>68376</v>
      </c>
      <c r="E2859" s="560"/>
      <c r="F2859" s="561"/>
      <c r="G2859" s="299"/>
    </row>
    <row r="2860" spans="1:10" x14ac:dyDescent="0.2">
      <c r="A2860" s="556" t="s">
        <v>753</v>
      </c>
      <c r="B2860" s="562" t="s">
        <v>1140</v>
      </c>
      <c r="C2860" s="563">
        <v>7.0000000000000007E-2</v>
      </c>
      <c r="D2860" s="564">
        <f>D2852*C2860</f>
        <v>68376</v>
      </c>
      <c r="E2860" s="565"/>
      <c r="F2860" s="561"/>
      <c r="G2860" s="299"/>
    </row>
    <row r="2861" spans="1:10" x14ac:dyDescent="0.2">
      <c r="A2861" s="737" t="s">
        <v>755</v>
      </c>
      <c r="B2861" s="742"/>
      <c r="C2861" s="743">
        <v>0</v>
      </c>
      <c r="D2861" s="744">
        <f>D2852*C2861</f>
        <v>0</v>
      </c>
      <c r="E2861" s="745"/>
      <c r="F2861" s="746"/>
      <c r="G2861" s="747"/>
      <c r="H2861" s="748"/>
      <c r="I2861" s="748"/>
      <c r="J2861" s="741"/>
    </row>
    <row r="2862" spans="1:10" x14ac:dyDescent="0.2">
      <c r="A2862" s="556" t="s">
        <v>756</v>
      </c>
      <c r="B2862" s="562" t="s">
        <v>1141</v>
      </c>
      <c r="C2862" s="563">
        <v>0.06</v>
      </c>
      <c r="D2862" s="564">
        <f>C2862*D2852</f>
        <v>58608</v>
      </c>
      <c r="E2862" s="560"/>
      <c r="F2862" s="561"/>
      <c r="G2862" s="299"/>
    </row>
    <row r="2863" spans="1:10" x14ac:dyDescent="0.2">
      <c r="A2863" s="737" t="s">
        <v>757</v>
      </c>
      <c r="B2863" s="742"/>
      <c r="C2863" s="743">
        <v>0</v>
      </c>
      <c r="D2863" s="744">
        <f>C2863*D2852</f>
        <v>0</v>
      </c>
      <c r="E2863" s="560"/>
      <c r="F2863" s="561"/>
      <c r="G2863" s="299"/>
    </row>
    <row r="2864" spans="1:10" x14ac:dyDescent="0.2">
      <c r="A2864" s="737" t="s">
        <v>758</v>
      </c>
      <c r="B2864" s="742"/>
      <c r="C2864" s="743">
        <v>0</v>
      </c>
      <c r="D2864" s="744">
        <f>C2864*D2852</f>
        <v>0</v>
      </c>
      <c r="E2864" s="560"/>
      <c r="F2864" s="561"/>
      <c r="G2864" s="299"/>
    </row>
    <row r="2865" spans="1:7" x14ac:dyDescent="0.2">
      <c r="A2865" s="556" t="s">
        <v>759</v>
      </c>
      <c r="B2865" s="562" t="s">
        <v>260</v>
      </c>
      <c r="C2865" s="563">
        <v>7.0000000000000007E-2</v>
      </c>
      <c r="D2865" s="564">
        <f>C2865*D2852</f>
        <v>68376</v>
      </c>
      <c r="E2865" s="560"/>
      <c r="F2865" s="561"/>
      <c r="G2865" s="299"/>
    </row>
    <row r="2866" spans="1:7" x14ac:dyDescent="0.2">
      <c r="A2866" s="737" t="s">
        <v>760</v>
      </c>
      <c r="B2866" s="742"/>
      <c r="C2866" s="743">
        <v>0</v>
      </c>
      <c r="D2866" s="744">
        <f>C2866*D2852</f>
        <v>0</v>
      </c>
      <c r="E2866" s="560"/>
      <c r="F2866" s="561"/>
      <c r="G2866" s="299"/>
    </row>
    <row r="2867" spans="1:7" x14ac:dyDescent="0.2">
      <c r="A2867" s="737" t="s">
        <v>762</v>
      </c>
      <c r="B2867" s="742"/>
      <c r="C2867" s="743">
        <v>0</v>
      </c>
      <c r="D2867" s="744">
        <f>C2867*D2852</f>
        <v>0</v>
      </c>
      <c r="E2867" s="565"/>
      <c r="F2867" s="561"/>
      <c r="G2867" s="299"/>
    </row>
    <row r="2868" spans="1:7" x14ac:dyDescent="0.2">
      <c r="A2868" s="737" t="s">
        <v>763</v>
      </c>
      <c r="B2868" s="742"/>
      <c r="C2868" s="743">
        <v>0</v>
      </c>
      <c r="D2868" s="744">
        <f>C2868*D2852</f>
        <v>0</v>
      </c>
      <c r="E2868" s="560"/>
      <c r="F2868" s="561"/>
      <c r="G2868" s="299"/>
    </row>
    <row r="2869" spans="1:7" x14ac:dyDescent="0.2">
      <c r="A2869" s="737" t="s">
        <v>764</v>
      </c>
      <c r="B2869" s="742"/>
      <c r="C2869" s="743">
        <v>0</v>
      </c>
      <c r="D2869" s="744">
        <f>C2869*D2852</f>
        <v>0</v>
      </c>
      <c r="E2869" s="560"/>
      <c r="F2869" s="561"/>
      <c r="G2869" s="299"/>
    </row>
    <row r="2870" spans="1:7" x14ac:dyDescent="0.2">
      <c r="A2870" s="556" t="s">
        <v>765</v>
      </c>
      <c r="B2870" s="562" t="s">
        <v>341</v>
      </c>
      <c r="C2870" s="563">
        <v>0.1</v>
      </c>
      <c r="D2870" s="564">
        <f>C2870*D2852</f>
        <v>97680</v>
      </c>
      <c r="E2870" s="565"/>
      <c r="F2870" s="561"/>
      <c r="G2870" s="299"/>
    </row>
    <row r="2871" spans="1:7" ht="45" x14ac:dyDescent="0.2">
      <c r="A2871" s="556" t="s">
        <v>1082</v>
      </c>
      <c r="B2871" s="562" t="s">
        <v>1083</v>
      </c>
      <c r="C2871" s="563">
        <v>0.05</v>
      </c>
      <c r="D2871" s="564">
        <f>C2871*D2852</f>
        <v>48840</v>
      </c>
      <c r="E2871" s="566"/>
      <c r="F2871" s="560"/>
      <c r="G2871" s="299"/>
    </row>
    <row r="2872" spans="1:7" x14ac:dyDescent="0.2">
      <c r="A2872" s="737" t="s">
        <v>1084</v>
      </c>
      <c r="B2872" s="742"/>
      <c r="C2872" s="743">
        <v>0</v>
      </c>
      <c r="D2872" s="744">
        <f>C2872*D2852</f>
        <v>0</v>
      </c>
      <c r="E2872" s="566"/>
      <c r="F2872" s="561"/>
      <c r="G2872" s="299"/>
    </row>
    <row r="2873" spans="1:7" x14ac:dyDescent="0.2">
      <c r="A2873" s="525">
        <v>5</v>
      </c>
      <c r="B2873" s="617" t="s">
        <v>859</v>
      </c>
      <c r="C2873" s="527"/>
      <c r="D2873" s="528">
        <f>D2874</f>
        <v>500000</v>
      </c>
      <c r="E2873" s="529"/>
      <c r="F2873" s="530"/>
      <c r="G2873" s="299"/>
    </row>
    <row r="2874" spans="1:7" x14ac:dyDescent="0.2">
      <c r="A2874" s="537" t="s">
        <v>628</v>
      </c>
      <c r="B2874" s="532" t="s">
        <v>980</v>
      </c>
      <c r="C2874" s="533"/>
      <c r="D2874" s="534">
        <v>500000</v>
      </c>
      <c r="E2874" s="535"/>
      <c r="F2874" s="536" t="s">
        <v>862</v>
      </c>
      <c r="G2874" s="299"/>
    </row>
    <row r="2875" spans="1:7" x14ac:dyDescent="0.2">
      <c r="A2875" s="550"/>
      <c r="B2875" s="567" t="s">
        <v>1142</v>
      </c>
      <c r="C2875" s="568">
        <f>SUM(C2853:C2872)</f>
        <v>0.86000000000000021</v>
      </c>
      <c r="D2875" s="569">
        <f>SUM(D2853:D2872)</f>
        <v>840048</v>
      </c>
      <c r="E2875" s="570"/>
      <c r="F2875" s="554"/>
    </row>
    <row r="2876" spans="1:7" x14ac:dyDescent="0.2">
      <c r="A2876" s="550"/>
      <c r="B2876" s="567" t="s">
        <v>132</v>
      </c>
      <c r="C2876" s="568">
        <v>0.05</v>
      </c>
      <c r="D2876" s="569">
        <f>C2876*D2852</f>
        <v>48840</v>
      </c>
      <c r="E2876" s="570"/>
      <c r="F2876" s="554"/>
    </row>
    <row r="2877" spans="1:7" ht="28.5" x14ac:dyDescent="0.2">
      <c r="A2877" s="550"/>
      <c r="B2877" s="567" t="s">
        <v>308</v>
      </c>
      <c r="C2877" s="568">
        <f>D2877/D2845</f>
        <v>-0.34680098280098282</v>
      </c>
      <c r="D2877" s="569">
        <f>D2845-D2846-D2851-D2875-D2876-D2873</f>
        <v>-846888</v>
      </c>
      <c r="E2877" s="570"/>
      <c r="F2877" s="554"/>
    </row>
    <row r="2878" spans="1:7" ht="28.5" x14ac:dyDescent="0.2">
      <c r="A2878" s="571"/>
      <c r="B2878" s="572" t="s">
        <v>375</v>
      </c>
      <c r="C2878" s="573">
        <f>D2878/D2845</f>
        <v>-0.3268009828009828</v>
      </c>
      <c r="D2878" s="574">
        <f>D2877+D2876</f>
        <v>-798048</v>
      </c>
      <c r="E2878" s="575"/>
      <c r="F2878" s="575"/>
    </row>
    <row r="2879" spans="1:7" x14ac:dyDescent="0.2">
      <c r="A2879" s="267"/>
      <c r="B2879" s="174" t="s">
        <v>403</v>
      </c>
      <c r="C2879" s="585">
        <v>46156</v>
      </c>
      <c r="D2879" s="177"/>
      <c r="E2879" s="177"/>
      <c r="F2879" s="177"/>
    </row>
    <row r="2880" spans="1:7" x14ac:dyDescent="0.2">
      <c r="A2880" s="267"/>
      <c r="B2880" s="174" t="s">
        <v>569</v>
      </c>
      <c r="C2880" s="937"/>
      <c r="D2880" s="938"/>
      <c r="E2880" s="938"/>
      <c r="F2880" s="939"/>
    </row>
    <row r="2881" spans="1:13" x14ac:dyDescent="0.2">
      <c r="A2881" s="267"/>
      <c r="B2881" s="174" t="s">
        <v>1183</v>
      </c>
      <c r="C2881" s="937" t="s">
        <v>1190</v>
      </c>
      <c r="D2881" s="938"/>
      <c r="E2881" s="938"/>
      <c r="F2881" s="939"/>
    </row>
    <row r="2882" spans="1:13" x14ac:dyDescent="0.2">
      <c r="A2882" s="267"/>
      <c r="B2882" s="174" t="s">
        <v>541</v>
      </c>
      <c r="C2882" s="915"/>
      <c r="D2882" s="916"/>
      <c r="E2882" s="916"/>
      <c r="F2882" s="917"/>
    </row>
    <row r="2883" spans="1:13" x14ac:dyDescent="0.2">
      <c r="A2883" s="588"/>
      <c r="B2883" s="459" t="s">
        <v>404</v>
      </c>
      <c r="C2883" s="918"/>
      <c r="D2883" s="919"/>
      <c r="E2883" s="919"/>
      <c r="F2883" s="920"/>
    </row>
    <row r="2884" spans="1:13" x14ac:dyDescent="0.2">
      <c r="A2884" s="114"/>
      <c r="B2884" s="21" t="s">
        <v>919</v>
      </c>
      <c r="C2884" s="940"/>
      <c r="D2884" s="941"/>
      <c r="E2884" s="941"/>
      <c r="F2884" s="942"/>
    </row>
    <row r="2885" spans="1:13" x14ac:dyDescent="0.2">
      <c r="A2885" s="589"/>
      <c r="B2885" s="590" t="s">
        <v>875</v>
      </c>
      <c r="C2885" s="943"/>
      <c r="D2885" s="944"/>
      <c r="E2885" s="944"/>
      <c r="F2885" s="945"/>
    </row>
    <row r="2886" spans="1:13" x14ac:dyDescent="0.2">
      <c r="A2886" s="114"/>
      <c r="B2886" s="591" t="s">
        <v>1146</v>
      </c>
      <c r="C2886" s="946"/>
      <c r="D2886" s="947"/>
      <c r="E2886" s="947"/>
      <c r="F2886" s="948"/>
    </row>
    <row r="2887" spans="1:13" x14ac:dyDescent="0.2">
      <c r="A2887" s="593"/>
      <c r="B2887" s="591" t="s">
        <v>792</v>
      </c>
      <c r="C2887" s="927"/>
      <c r="D2887" s="928"/>
      <c r="E2887" s="928"/>
      <c r="F2887" s="929"/>
    </row>
    <row r="2888" spans="1:13" x14ac:dyDescent="0.2">
      <c r="A2888" s="765"/>
      <c r="B2888" s="591" t="s">
        <v>546</v>
      </c>
      <c r="C2888" s="963"/>
      <c r="D2888" s="964"/>
      <c r="E2888" s="964"/>
      <c r="F2888" s="965"/>
    </row>
    <row r="2889" spans="1:13" ht="31.5" x14ac:dyDescent="0.2">
      <c r="A2889" s="735"/>
      <c r="B2889" s="766" t="s">
        <v>796</v>
      </c>
      <c r="C2889" s="966"/>
      <c r="D2889" s="967"/>
      <c r="E2889" s="967"/>
      <c r="F2889" s="968"/>
    </row>
    <row r="2890" spans="1:13" ht="31.5" x14ac:dyDescent="0.2">
      <c r="A2890" s="760"/>
      <c r="B2890" s="691" t="s">
        <v>798</v>
      </c>
      <c r="C2890" s="930"/>
      <c r="D2890" s="931"/>
      <c r="E2890" s="931"/>
      <c r="F2890" s="932"/>
    </row>
    <row r="2891" spans="1:13" ht="71.25" customHeight="1" x14ac:dyDescent="0.2">
      <c r="A2891" s="802" t="s">
        <v>1191</v>
      </c>
      <c r="B2891" s="802"/>
      <c r="C2891" s="802"/>
      <c r="D2891" s="802"/>
      <c r="E2891" s="802"/>
      <c r="F2891" s="804"/>
      <c r="G2891" s="767" t="s">
        <v>1192</v>
      </c>
      <c r="H2891" s="767" t="s">
        <v>1193</v>
      </c>
      <c r="I2891" s="767" t="s">
        <v>1194</v>
      </c>
      <c r="J2891" s="767" t="s">
        <v>1195</v>
      </c>
      <c r="K2891" s="767" t="s">
        <v>1196</v>
      </c>
      <c r="M2891" s="180" t="s">
        <v>1197</v>
      </c>
    </row>
    <row r="2892" spans="1:13" ht="46.5" customHeight="1" x14ac:dyDescent="0.2">
      <c r="A2892" s="172"/>
      <c r="B2892" s="172" t="s">
        <v>1198</v>
      </c>
      <c r="C2892" s="172"/>
      <c r="D2892" s="969">
        <f>D2893*0.05+D2893</f>
        <v>16380000</v>
      </c>
      <c r="E2892" s="802"/>
      <c r="F2892" s="804"/>
      <c r="G2892" s="768">
        <v>0.1</v>
      </c>
      <c r="H2892" s="769">
        <f>D2893-D2893*G2892</f>
        <v>14040000</v>
      </c>
      <c r="I2892" s="770">
        <f t="shared" ref="I2892:I2896" si="2">H2892*0.05+H2892</f>
        <v>14742000</v>
      </c>
      <c r="J2892" s="769">
        <f>H2892-D2894-D2924-D2925</f>
        <v>3251200</v>
      </c>
      <c r="K2892" s="771">
        <f t="shared" ref="K2892:K2896" si="3">H2892/7</f>
        <v>2005714.2857142857</v>
      </c>
      <c r="M2892" s="615">
        <f>D2892-D2893</f>
        <v>780000</v>
      </c>
    </row>
    <row r="2893" spans="1:13" x14ac:dyDescent="0.2">
      <c r="A2893" s="173">
        <v>1</v>
      </c>
      <c r="B2893" s="254" t="s">
        <v>1199</v>
      </c>
      <c r="C2893" s="175"/>
      <c r="D2893" s="803">
        <v>15600000</v>
      </c>
      <c r="E2893" s="803"/>
      <c r="F2893" s="798"/>
      <c r="G2893" s="768">
        <v>0.15</v>
      </c>
      <c r="H2893" s="769">
        <f>D2893-D2893*G2893</f>
        <v>13260000</v>
      </c>
      <c r="I2893" s="770">
        <f t="shared" si="2"/>
        <v>13923000</v>
      </c>
      <c r="J2893" s="769">
        <f>H2893-D2894-D2924-D2925</f>
        <v>2471200</v>
      </c>
      <c r="K2893" s="771">
        <f t="shared" si="3"/>
        <v>1894285.7142857143</v>
      </c>
    </row>
    <row r="2894" spans="1:13" x14ac:dyDescent="0.2">
      <c r="A2894" s="502" t="s">
        <v>1035</v>
      </c>
      <c r="B2894" s="503" t="s">
        <v>677</v>
      </c>
      <c r="C2894" s="504"/>
      <c r="D2894" s="505">
        <f>SUM(D2895:D2898)</f>
        <v>3800000</v>
      </c>
      <c r="E2894" s="506"/>
      <c r="F2894" s="600"/>
      <c r="G2894" s="768">
        <v>0.2</v>
      </c>
      <c r="H2894" s="769">
        <f>D2893-D2893*G2894</f>
        <v>12480000</v>
      </c>
      <c r="I2894" s="770">
        <f t="shared" si="2"/>
        <v>13104000</v>
      </c>
      <c r="J2894" s="769">
        <f>H2894-D2894-D2924-D2925</f>
        <v>1691200</v>
      </c>
      <c r="K2894" s="771">
        <f t="shared" si="3"/>
        <v>1782857.142857143</v>
      </c>
    </row>
    <row r="2895" spans="1:13" x14ac:dyDescent="0.2">
      <c r="A2895" s="508" t="s">
        <v>613</v>
      </c>
      <c r="B2895" s="509" t="s">
        <v>353</v>
      </c>
      <c r="C2895" s="510"/>
      <c r="D2895" s="511">
        <v>1500000</v>
      </c>
      <c r="E2895" s="512"/>
      <c r="F2895" s="761"/>
      <c r="G2895" s="768">
        <v>0.25</v>
      </c>
      <c r="H2895" s="769">
        <f>D2893-D2893*G2895</f>
        <v>11700000</v>
      </c>
      <c r="I2895" s="770">
        <f t="shared" si="2"/>
        <v>12285000</v>
      </c>
      <c r="J2895" s="769">
        <f>H2895-D2894-D2924-D2925</f>
        <v>911200</v>
      </c>
      <c r="K2895" s="771">
        <f t="shared" si="3"/>
        <v>1671428.5714285714</v>
      </c>
    </row>
    <row r="2896" spans="1:13" x14ac:dyDescent="0.2">
      <c r="A2896" s="508" t="s">
        <v>615</v>
      </c>
      <c r="B2896" s="509" t="s">
        <v>681</v>
      </c>
      <c r="C2896" s="510"/>
      <c r="D2896" s="511">
        <v>300000</v>
      </c>
      <c r="E2896" s="512"/>
      <c r="F2896" s="761"/>
      <c r="G2896" s="768">
        <v>0.3</v>
      </c>
      <c r="H2896" s="769">
        <f>D2893-D2893*G2896</f>
        <v>10920000</v>
      </c>
      <c r="I2896" s="770">
        <f t="shared" si="2"/>
        <v>11466000</v>
      </c>
      <c r="J2896" s="769">
        <f>H2896-D2894-D2924-D2925</f>
        <v>131200</v>
      </c>
      <c r="K2896" s="771">
        <f t="shared" si="3"/>
        <v>1560000</v>
      </c>
    </row>
    <row r="2897" spans="1:9" x14ac:dyDescent="0.2">
      <c r="A2897" s="508" t="s">
        <v>617</v>
      </c>
      <c r="B2897" s="509" t="s">
        <v>1200</v>
      </c>
      <c r="C2897" s="510"/>
      <c r="D2897" s="511">
        <v>500000</v>
      </c>
      <c r="E2897" s="512"/>
      <c r="F2897" s="513"/>
    </row>
    <row r="2898" spans="1:9" ht="84" customHeight="1" x14ac:dyDescent="0.2">
      <c r="A2898" s="508" t="s">
        <v>619</v>
      </c>
      <c r="B2898" s="509" t="s">
        <v>1201</v>
      </c>
      <c r="C2898" s="510"/>
      <c r="D2898" s="511">
        <v>1500000</v>
      </c>
      <c r="E2898" s="512"/>
      <c r="F2898" s="513" t="s">
        <v>1202</v>
      </c>
      <c r="G2898" s="772" t="s">
        <v>1203</v>
      </c>
      <c r="H2898" s="955" t="s">
        <v>1204</v>
      </c>
      <c r="I2898" s="955"/>
    </row>
    <row r="2899" spans="1:9" ht="42.75" customHeight="1" x14ac:dyDescent="0.2">
      <c r="A2899" s="508" t="s">
        <v>621</v>
      </c>
      <c r="B2899" s="509" t="s">
        <v>1205</v>
      </c>
      <c r="C2899" s="510"/>
      <c r="D2899" s="511">
        <v>2000000</v>
      </c>
      <c r="E2899" s="512"/>
      <c r="F2899" s="513" t="s">
        <v>1202</v>
      </c>
      <c r="H2899" s="773"/>
      <c r="I2899" s="773"/>
    </row>
    <row r="2900" spans="1:9" x14ac:dyDescent="0.2">
      <c r="A2900" s="720" t="s">
        <v>623</v>
      </c>
      <c r="B2900" s="260" t="s">
        <v>1136</v>
      </c>
      <c r="C2900" s="715"/>
      <c r="D2900" s="716">
        <v>0</v>
      </c>
      <c r="E2900" s="177"/>
      <c r="F2900" s="178"/>
    </row>
    <row r="2901" spans="1:9" ht="43.5" x14ac:dyDescent="0.2">
      <c r="A2901" s="550" t="s">
        <v>625</v>
      </c>
      <c r="B2901" s="551" t="s">
        <v>1206</v>
      </c>
      <c r="C2901" s="552">
        <v>0.4</v>
      </c>
      <c r="D2901" s="553">
        <f>D2893*C2901</f>
        <v>6240000</v>
      </c>
      <c r="E2901" s="554"/>
      <c r="F2901" s="555"/>
    </row>
    <row r="2902" spans="1:9" ht="30" x14ac:dyDescent="0.2">
      <c r="A2902" s="556" t="s">
        <v>687</v>
      </c>
      <c r="B2902" s="557" t="s">
        <v>748</v>
      </c>
      <c r="C2902" s="558">
        <v>0.12</v>
      </c>
      <c r="D2902" s="559">
        <f>C2902*D2901</f>
        <v>748800</v>
      </c>
      <c r="E2902" s="560"/>
      <c r="F2902" s="561"/>
    </row>
    <row r="2903" spans="1:9" x14ac:dyDescent="0.2">
      <c r="A2903" s="556" t="s">
        <v>689</v>
      </c>
      <c r="B2903" s="557" t="s">
        <v>355</v>
      </c>
      <c r="C2903" s="558">
        <v>0.05</v>
      </c>
      <c r="D2903" s="559">
        <f>C2903*D2901</f>
        <v>312000</v>
      </c>
      <c r="E2903" s="560"/>
      <c r="F2903" s="561"/>
    </row>
    <row r="2904" spans="1:9" x14ac:dyDescent="0.2">
      <c r="A2904" s="556" t="s">
        <v>691</v>
      </c>
      <c r="B2904" s="557" t="s">
        <v>810</v>
      </c>
      <c r="C2904" s="558">
        <v>0.05</v>
      </c>
      <c r="D2904" s="559">
        <f>D2901*C2904</f>
        <v>312000</v>
      </c>
      <c r="E2904" s="561"/>
      <c r="F2904" s="561"/>
    </row>
    <row r="2905" spans="1:9" x14ac:dyDescent="0.2">
      <c r="A2905" s="556" t="s">
        <v>702</v>
      </c>
      <c r="B2905" s="557" t="s">
        <v>1137</v>
      </c>
      <c r="C2905" s="558">
        <v>0.08</v>
      </c>
      <c r="D2905" s="559">
        <f>C2905*D2901</f>
        <v>499200</v>
      </c>
      <c r="E2905" s="560"/>
      <c r="F2905" s="561"/>
    </row>
    <row r="2906" spans="1:9" x14ac:dyDescent="0.2">
      <c r="A2906" s="737" t="s">
        <v>704</v>
      </c>
      <c r="B2906" s="750" t="s">
        <v>1207</v>
      </c>
      <c r="C2906" s="751">
        <v>0.03</v>
      </c>
      <c r="D2906" s="752">
        <f>D2901*C2906</f>
        <v>187200</v>
      </c>
      <c r="E2906" s="560"/>
      <c r="F2906" s="561"/>
    </row>
    <row r="2907" spans="1:9" x14ac:dyDescent="0.2">
      <c r="A2907" s="556" t="s">
        <v>751</v>
      </c>
      <c r="B2907" s="557" t="s">
        <v>1208</v>
      </c>
      <c r="C2907" s="558">
        <v>0.05</v>
      </c>
      <c r="D2907" s="559">
        <f>C2907*D2901</f>
        <v>312000</v>
      </c>
      <c r="E2907" s="560"/>
      <c r="F2907" s="601"/>
    </row>
    <row r="2908" spans="1:9" x14ac:dyDescent="0.2">
      <c r="A2908" s="556" t="s">
        <v>752</v>
      </c>
      <c r="B2908" s="557" t="s">
        <v>1139</v>
      </c>
      <c r="C2908" s="558">
        <v>0.04</v>
      </c>
      <c r="D2908" s="559">
        <f>C2908*D2901</f>
        <v>249600</v>
      </c>
      <c r="E2908" s="560"/>
      <c r="F2908" s="561"/>
    </row>
    <row r="2909" spans="1:9" x14ac:dyDescent="0.2">
      <c r="A2909" s="556" t="s">
        <v>753</v>
      </c>
      <c r="B2909" s="562" t="s">
        <v>1140</v>
      </c>
      <c r="C2909" s="563">
        <v>0.04</v>
      </c>
      <c r="D2909" s="564">
        <f>D2901*C2909</f>
        <v>249600</v>
      </c>
      <c r="E2909" s="565"/>
      <c r="F2909" s="561"/>
    </row>
    <row r="2910" spans="1:9" x14ac:dyDescent="0.2">
      <c r="A2910" s="737" t="s">
        <v>755</v>
      </c>
      <c r="B2910" s="753" t="s">
        <v>323</v>
      </c>
      <c r="C2910" s="743">
        <v>0</v>
      </c>
      <c r="D2910" s="744">
        <f>D2901*C2910</f>
        <v>0</v>
      </c>
      <c r="E2910" s="745"/>
      <c r="F2910" s="746"/>
    </row>
    <row r="2911" spans="1:9" x14ac:dyDescent="0.2">
      <c r="A2911" s="556" t="s">
        <v>756</v>
      </c>
      <c r="B2911" s="753" t="s">
        <v>642</v>
      </c>
      <c r="C2911" s="563">
        <v>0.04</v>
      </c>
      <c r="D2911" s="564">
        <f>C2911*D2901</f>
        <v>249600</v>
      </c>
      <c r="E2911" s="560"/>
      <c r="F2911" s="561"/>
    </row>
    <row r="2912" spans="1:9" x14ac:dyDescent="0.2">
      <c r="A2912" s="737" t="s">
        <v>757</v>
      </c>
      <c r="B2912" s="774" t="s">
        <v>1157</v>
      </c>
      <c r="C2912" s="743">
        <v>0</v>
      </c>
      <c r="D2912" s="744">
        <f>C2912*D2901</f>
        <v>0</v>
      </c>
      <c r="E2912" s="560"/>
      <c r="F2912" s="561"/>
    </row>
    <row r="2913" spans="1:6" x14ac:dyDescent="0.2">
      <c r="A2913" s="737" t="s">
        <v>758</v>
      </c>
      <c r="B2913" s="774" t="s">
        <v>1158</v>
      </c>
      <c r="C2913" s="743">
        <v>0</v>
      </c>
      <c r="D2913" s="744">
        <f>C2913*D2901</f>
        <v>0</v>
      </c>
      <c r="E2913" s="560"/>
      <c r="F2913" s="561"/>
    </row>
    <row r="2914" spans="1:6" x14ac:dyDescent="0.2">
      <c r="A2914" s="556" t="s">
        <v>759</v>
      </c>
      <c r="B2914" s="753" t="s">
        <v>260</v>
      </c>
      <c r="C2914" s="563">
        <v>0.04</v>
      </c>
      <c r="D2914" s="564">
        <f>C2914*D2901</f>
        <v>249600</v>
      </c>
      <c r="E2914" s="560"/>
      <c r="F2914" s="561"/>
    </row>
    <row r="2915" spans="1:6" x14ac:dyDescent="0.2">
      <c r="A2915" s="737" t="s">
        <v>760</v>
      </c>
      <c r="B2915" s="753" t="s">
        <v>261</v>
      </c>
      <c r="C2915" s="563">
        <v>0.03</v>
      </c>
      <c r="D2915" s="775">
        <f>C2915*D2901</f>
        <v>187200</v>
      </c>
      <c r="E2915" s="560"/>
      <c r="F2915" s="561"/>
    </row>
    <row r="2916" spans="1:6" x14ac:dyDescent="0.2">
      <c r="A2916" s="737" t="s">
        <v>762</v>
      </c>
      <c r="B2916" s="753" t="s">
        <v>262</v>
      </c>
      <c r="C2916" s="563">
        <v>0.02</v>
      </c>
      <c r="D2916" s="775">
        <f>C2916*D2901</f>
        <v>124800</v>
      </c>
      <c r="E2916" s="565"/>
      <c r="F2916" s="561"/>
    </row>
    <row r="2917" spans="1:6" x14ac:dyDescent="0.2">
      <c r="A2917" s="737" t="s">
        <v>763</v>
      </c>
      <c r="B2917" s="742"/>
      <c r="C2917" s="743">
        <v>0</v>
      </c>
      <c r="D2917" s="744">
        <f>C2917*D2901</f>
        <v>0</v>
      </c>
      <c r="E2917" s="560"/>
      <c r="F2917" s="561"/>
    </row>
    <row r="2918" spans="1:6" x14ac:dyDescent="0.2">
      <c r="A2918" s="737" t="s">
        <v>764</v>
      </c>
      <c r="B2918" s="742"/>
      <c r="C2918" s="743">
        <v>0</v>
      </c>
      <c r="D2918" s="744">
        <f>C2918*D2901</f>
        <v>0</v>
      </c>
      <c r="E2918" s="560"/>
      <c r="F2918" s="561"/>
    </row>
    <row r="2919" spans="1:6" x14ac:dyDescent="0.2">
      <c r="A2919" s="556" t="s">
        <v>765</v>
      </c>
      <c r="B2919" s="562" t="s">
        <v>341</v>
      </c>
      <c r="C2919" s="563">
        <v>0.08</v>
      </c>
      <c r="D2919" s="564">
        <f>C2919*D2901</f>
        <v>499200</v>
      </c>
      <c r="E2919" s="565"/>
      <c r="F2919" s="561"/>
    </row>
    <row r="2920" spans="1:6" ht="45" x14ac:dyDescent="0.2">
      <c r="A2920" s="556" t="s">
        <v>1082</v>
      </c>
      <c r="B2920" s="562" t="s">
        <v>1209</v>
      </c>
      <c r="C2920" s="563">
        <v>0.1</v>
      </c>
      <c r="D2920" s="564">
        <f>C2920*D2901</f>
        <v>624000</v>
      </c>
      <c r="E2920" s="566"/>
      <c r="F2920" s="560"/>
    </row>
    <row r="2921" spans="1:6" ht="57" customHeight="1" x14ac:dyDescent="0.2">
      <c r="A2921" s="556" t="s">
        <v>1084</v>
      </c>
      <c r="B2921" s="753" t="s">
        <v>1210</v>
      </c>
      <c r="C2921" s="754">
        <v>0.2</v>
      </c>
      <c r="D2921" s="564">
        <f>C2921*D2901</f>
        <v>1248000</v>
      </c>
      <c r="E2921" s="566"/>
      <c r="F2921" s="561" t="s">
        <v>1211</v>
      </c>
    </row>
    <row r="2922" spans="1:6" x14ac:dyDescent="0.2">
      <c r="A2922" s="525">
        <v>5</v>
      </c>
      <c r="B2922" s="617" t="s">
        <v>859</v>
      </c>
      <c r="C2922" s="527"/>
      <c r="D2922" s="528">
        <f>D2923</f>
        <v>1500000</v>
      </c>
      <c r="E2922" s="529"/>
      <c r="F2922" s="530"/>
    </row>
    <row r="2923" spans="1:6" ht="26.25" customHeight="1" x14ac:dyDescent="0.2">
      <c r="A2923" s="531" t="s">
        <v>628</v>
      </c>
      <c r="B2923" s="532" t="s">
        <v>1212</v>
      </c>
      <c r="C2923" s="533"/>
      <c r="D2923" s="534">
        <v>1500000</v>
      </c>
      <c r="E2923" s="535"/>
      <c r="F2923" s="536" t="s">
        <v>862</v>
      </c>
    </row>
    <row r="2924" spans="1:6" x14ac:dyDescent="0.2">
      <c r="A2924" s="550"/>
      <c r="B2924" s="567" t="s">
        <v>1142</v>
      </c>
      <c r="C2924" s="568">
        <f>SUM(C2902:C2921)</f>
        <v>0.97</v>
      </c>
      <c r="D2924" s="569">
        <f>SUM(D2902:D2921)</f>
        <v>6052800</v>
      </c>
      <c r="E2924" s="570"/>
      <c r="F2924" s="554"/>
    </row>
    <row r="2925" spans="1:6" x14ac:dyDescent="0.2">
      <c r="A2925" s="550"/>
      <c r="B2925" s="567" t="s">
        <v>132</v>
      </c>
      <c r="C2925" s="568">
        <v>0.15</v>
      </c>
      <c r="D2925" s="569">
        <f>C2925*D2901</f>
        <v>936000</v>
      </c>
      <c r="E2925" s="570"/>
      <c r="F2925" s="554"/>
    </row>
    <row r="2926" spans="1:6" ht="28.5" x14ac:dyDescent="0.2">
      <c r="A2926" s="550"/>
      <c r="B2926" s="567" t="s">
        <v>308</v>
      </c>
      <c r="C2926" s="568">
        <f>D2926/D2893</f>
        <v>0.21225641025641026</v>
      </c>
      <c r="D2926" s="569">
        <f>D2893-D2894-D2900-D2924-D2925-D2922</f>
        <v>3311200</v>
      </c>
      <c r="E2926" s="570"/>
      <c r="F2926" s="554"/>
    </row>
    <row r="2927" spans="1:6" ht="28.5" x14ac:dyDescent="0.2">
      <c r="A2927" s="571"/>
      <c r="B2927" s="572" t="s">
        <v>375</v>
      </c>
      <c r="C2927" s="573">
        <f>D2927/D2893</f>
        <v>0.27225641025641023</v>
      </c>
      <c r="D2927" s="574">
        <f>D2926+D2925</f>
        <v>4247200</v>
      </c>
      <c r="E2927" s="575"/>
      <c r="F2927" s="575"/>
    </row>
    <row r="2928" spans="1:6" ht="39.75" customHeight="1" x14ac:dyDescent="0.2">
      <c r="A2928" s="267"/>
      <c r="B2928" s="174" t="s">
        <v>1213</v>
      </c>
      <c r="C2928" s="585">
        <v>46157</v>
      </c>
      <c r="D2928" s="177"/>
      <c r="E2928" s="177"/>
      <c r="F2928" s="177"/>
    </row>
    <row r="2929" spans="1:9" ht="25.5" customHeight="1" x14ac:dyDescent="0.2">
      <c r="A2929" s="267"/>
      <c r="B2929" s="174" t="s">
        <v>569</v>
      </c>
      <c r="C2929" s="937" t="s">
        <v>1214</v>
      </c>
      <c r="D2929" s="956"/>
      <c r="E2929" s="956"/>
      <c r="F2929" s="957"/>
    </row>
    <row r="2930" spans="1:9" ht="23.25" customHeight="1" x14ac:dyDescent="0.2">
      <c r="A2930" s="267"/>
      <c r="B2930" s="174" t="s">
        <v>784</v>
      </c>
      <c r="C2930" s="937"/>
      <c r="D2930" s="956"/>
      <c r="E2930" s="956"/>
      <c r="F2930" s="957"/>
    </row>
    <row r="2931" spans="1:9" ht="30.75" customHeight="1" x14ac:dyDescent="0.2">
      <c r="A2931" s="267"/>
      <c r="B2931" s="174" t="s">
        <v>541</v>
      </c>
      <c r="C2931" s="915"/>
      <c r="D2931" s="916"/>
      <c r="E2931" s="916"/>
      <c r="F2931" s="917"/>
    </row>
    <row r="2932" spans="1:9" x14ac:dyDescent="0.2">
      <c r="A2932" s="267"/>
      <c r="B2932" s="174" t="s">
        <v>404</v>
      </c>
      <c r="C2932" s="958" t="s">
        <v>1215</v>
      </c>
      <c r="D2932" s="959"/>
      <c r="E2932" s="959"/>
      <c r="F2932" s="960"/>
    </row>
    <row r="2933" spans="1:9" ht="45" customHeight="1" x14ac:dyDescent="0.2">
      <c r="A2933" s="114"/>
      <c r="B2933" s="21" t="s">
        <v>919</v>
      </c>
      <c r="C2933" s="940" t="s">
        <v>1216</v>
      </c>
      <c r="D2933" s="941"/>
      <c r="E2933" s="941"/>
      <c r="F2933" s="942"/>
    </row>
    <row r="2934" spans="1:9" x14ac:dyDescent="0.2">
      <c r="A2934" s="589"/>
      <c r="B2934" s="590" t="s">
        <v>875</v>
      </c>
      <c r="C2934" s="943" t="s">
        <v>1216</v>
      </c>
      <c r="D2934" s="961"/>
      <c r="E2934" s="961"/>
      <c r="F2934" s="962"/>
    </row>
    <row r="2935" spans="1:9" x14ac:dyDescent="0.2">
      <c r="A2935" s="114"/>
      <c r="B2935" s="591" t="s">
        <v>1146</v>
      </c>
      <c r="C2935" s="946" t="s">
        <v>1217</v>
      </c>
      <c r="D2935" s="947"/>
      <c r="E2935" s="947"/>
      <c r="F2935" s="948"/>
    </row>
    <row r="2936" spans="1:9" ht="65.25" customHeight="1" x14ac:dyDescent="0.2">
      <c r="A2936" s="593"/>
      <c r="B2936" s="591" t="s">
        <v>792</v>
      </c>
      <c r="C2936" s="927" t="s">
        <v>1218</v>
      </c>
      <c r="D2936" s="928"/>
      <c r="E2936" s="928"/>
      <c r="F2936" s="929"/>
    </row>
    <row r="2937" spans="1:9" ht="44.25" customHeight="1" x14ac:dyDescent="0.2">
      <c r="A2937" s="734"/>
      <c r="B2937" s="591" t="s">
        <v>546</v>
      </c>
      <c r="C2937" s="949"/>
      <c r="D2937" s="950"/>
      <c r="E2937" s="950"/>
      <c r="F2937" s="951"/>
    </row>
    <row r="2938" spans="1:9" ht="99" customHeight="1" x14ac:dyDescent="0.2">
      <c r="A2938" s="735"/>
      <c r="B2938" s="591" t="s">
        <v>796</v>
      </c>
      <c r="C2938" s="952" t="s">
        <v>1219</v>
      </c>
      <c r="D2938" s="953"/>
      <c r="E2938" s="953"/>
      <c r="F2938" s="954"/>
    </row>
    <row r="2939" spans="1:9" ht="51" customHeight="1" x14ac:dyDescent="0.2">
      <c r="A2939" s="736"/>
      <c r="B2939" s="591" t="s">
        <v>798</v>
      </c>
      <c r="C2939" s="949" t="s">
        <v>1220</v>
      </c>
      <c r="D2939" s="950"/>
      <c r="E2939" s="950"/>
      <c r="F2939" s="951"/>
      <c r="G2939" s="615"/>
      <c r="H2939" s="698"/>
    </row>
    <row r="2940" spans="1:9" ht="20.25" x14ac:dyDescent="0.2">
      <c r="A2940" s="907" t="s">
        <v>741</v>
      </c>
      <c r="B2940" s="908"/>
      <c r="C2940" s="908"/>
      <c r="D2940" s="908"/>
      <c r="E2940" s="908"/>
      <c r="F2940" s="909"/>
      <c r="G2940" s="250" t="s">
        <v>348</v>
      </c>
      <c r="H2940" s="250" t="s">
        <v>349</v>
      </c>
      <c r="I2940" s="251" t="s">
        <v>350</v>
      </c>
    </row>
    <row r="2941" spans="1:9" ht="57" customHeight="1" x14ac:dyDescent="0.2">
      <c r="A2941" s="804" t="s">
        <v>1221</v>
      </c>
      <c r="B2941" s="805"/>
      <c r="C2941" s="805"/>
      <c r="D2941" s="805"/>
      <c r="E2941" s="805"/>
      <c r="F2941" s="806"/>
      <c r="G2941" s="252">
        <v>0.1</v>
      </c>
      <c r="H2941" s="584">
        <f>D2942-D2942*G2941</f>
        <v>3726067.5</v>
      </c>
      <c r="I2941" s="253">
        <f>H2941-D2945-D2946-D2968-D2965-D2971</f>
        <v>586399.7142857142</v>
      </c>
    </row>
    <row r="2942" spans="1:9" ht="18.75" x14ac:dyDescent="0.2">
      <c r="A2942" s="173"/>
      <c r="B2942" s="254"/>
      <c r="C2942" s="175"/>
      <c r="D2942" s="798">
        <v>4140075</v>
      </c>
      <c r="E2942" s="799"/>
      <c r="F2942" s="934"/>
      <c r="G2942" s="252">
        <v>0.15</v>
      </c>
      <c r="H2942" s="584">
        <f>D2942-D2942*G2942</f>
        <v>3519063.75</v>
      </c>
      <c r="I2942" s="253">
        <f>H2942-D2945-D2946-D2968-D2965-D2971</f>
        <v>379395.9642857142</v>
      </c>
    </row>
    <row r="2943" spans="1:9" ht="18.75" x14ac:dyDescent="0.2">
      <c r="A2943" s="173"/>
      <c r="B2943" s="254" t="s">
        <v>1222</v>
      </c>
      <c r="C2943" s="175"/>
      <c r="D2943" s="798">
        <f>D2942/105*5</f>
        <v>197146.42857142858</v>
      </c>
      <c r="E2943" s="799"/>
      <c r="F2943" s="799"/>
      <c r="G2943" s="252">
        <v>0.2</v>
      </c>
      <c r="H2943" s="695">
        <v>3312060</v>
      </c>
      <c r="I2943" s="253"/>
    </row>
    <row r="2944" spans="1:9" ht="18.75" x14ac:dyDescent="0.2">
      <c r="A2944" s="173"/>
      <c r="B2944" s="254" t="s">
        <v>1223</v>
      </c>
      <c r="C2944" s="175"/>
      <c r="D2944" s="798">
        <f>D2942-D2943</f>
        <v>3942928.5714285714</v>
      </c>
      <c r="E2944" s="799"/>
      <c r="F2944" s="799"/>
      <c r="G2944" s="252"/>
      <c r="H2944" s="584"/>
      <c r="I2944" s="253"/>
    </row>
    <row r="2945" spans="1:10" ht="18.75" x14ac:dyDescent="0.2">
      <c r="A2945" s="173">
        <v>1</v>
      </c>
      <c r="B2945" s="254" t="s">
        <v>430</v>
      </c>
      <c r="C2945" s="175"/>
      <c r="D2945" s="716">
        <v>200000</v>
      </c>
      <c r="E2945" s="192"/>
      <c r="F2945" s="178" t="s">
        <v>1224</v>
      </c>
      <c r="G2945" s="252"/>
      <c r="H2945" s="584"/>
      <c r="I2945" s="253">
        <f>H2945-D2945-D2946-D2968-D2965-D2971</f>
        <v>-3139667.7857142859</v>
      </c>
    </row>
    <row r="2946" spans="1:10" ht="18.75" x14ac:dyDescent="0.2">
      <c r="A2946" s="720" t="s">
        <v>1035</v>
      </c>
      <c r="B2946" s="260" t="s">
        <v>1136</v>
      </c>
      <c r="C2946" s="715"/>
      <c r="D2946" s="716">
        <v>500000</v>
      </c>
      <c r="E2946" s="177"/>
      <c r="F2946" s="178"/>
      <c r="G2946" s="252"/>
      <c r="H2946" s="584"/>
      <c r="I2946" s="253"/>
    </row>
    <row r="2947" spans="1:10" ht="43.5" x14ac:dyDescent="0.2">
      <c r="A2947" s="550" t="s">
        <v>623</v>
      </c>
      <c r="B2947" s="551" t="s">
        <v>354</v>
      </c>
      <c r="C2947" s="552">
        <v>0.6</v>
      </c>
      <c r="D2947" s="553">
        <f>C2947*D2944</f>
        <v>2365757.1428571427</v>
      </c>
      <c r="E2947" s="554"/>
      <c r="F2947" s="555"/>
      <c r="G2947" s="252"/>
      <c r="H2947" s="584"/>
      <c r="I2947" s="253"/>
    </row>
    <row r="2948" spans="1:10" ht="30" x14ac:dyDescent="0.2">
      <c r="A2948" s="556" t="s">
        <v>678</v>
      </c>
      <c r="B2948" s="557" t="s">
        <v>748</v>
      </c>
      <c r="C2948" s="558">
        <v>7.0000000000000007E-2</v>
      </c>
      <c r="D2948" s="559">
        <f>C2948*D2947</f>
        <v>165603</v>
      </c>
      <c r="E2948" s="560"/>
      <c r="F2948" s="561"/>
      <c r="G2948" s="719"/>
      <c r="H2948" s="698"/>
      <c r="I2948" s="698"/>
    </row>
    <row r="2949" spans="1:10" x14ac:dyDescent="0.2">
      <c r="A2949" s="556" t="s">
        <v>680</v>
      </c>
      <c r="B2949" s="557" t="s">
        <v>810</v>
      </c>
      <c r="C2949" s="558">
        <v>0.05</v>
      </c>
      <c r="D2949" s="559">
        <f>D2947*C2949</f>
        <v>118287.85714285714</v>
      </c>
      <c r="E2949" s="560"/>
      <c r="F2949" s="561"/>
      <c r="J2949" s="615"/>
    </row>
    <row r="2950" spans="1:10" x14ac:dyDescent="0.2">
      <c r="A2950" s="556" t="s">
        <v>738</v>
      </c>
      <c r="B2950" s="557" t="s">
        <v>20</v>
      </c>
      <c r="C2950" s="558">
        <v>0.02</v>
      </c>
      <c r="D2950" s="559">
        <f>C2950*D2947</f>
        <v>47315.142857142855</v>
      </c>
      <c r="E2950" s="560"/>
      <c r="F2950" s="561"/>
    </row>
    <row r="2951" spans="1:10" x14ac:dyDescent="0.2">
      <c r="A2951" s="556" t="s">
        <v>684</v>
      </c>
      <c r="B2951" s="557" t="s">
        <v>267</v>
      </c>
      <c r="C2951" s="558">
        <v>0.06</v>
      </c>
      <c r="D2951" s="559">
        <f>D2947*C2951</f>
        <v>141945.42857142855</v>
      </c>
      <c r="E2951" s="560"/>
      <c r="F2951" s="561"/>
    </row>
    <row r="2952" spans="1:10" x14ac:dyDescent="0.2">
      <c r="A2952" s="556" t="s">
        <v>1225</v>
      </c>
      <c r="B2952" s="557" t="s">
        <v>256</v>
      </c>
      <c r="C2952" s="558">
        <v>0.08</v>
      </c>
      <c r="D2952" s="559">
        <f>C2952*D2947</f>
        <v>189260.57142857142</v>
      </c>
      <c r="E2952" s="560"/>
      <c r="F2952" s="601"/>
    </row>
    <row r="2953" spans="1:10" x14ac:dyDescent="0.2">
      <c r="A2953" s="556" t="s">
        <v>1226</v>
      </c>
      <c r="B2953" s="557" t="s">
        <v>319</v>
      </c>
      <c r="C2953" s="558">
        <v>0.05</v>
      </c>
      <c r="D2953" s="559">
        <f>C2953*D2947</f>
        <v>118287.85714285714</v>
      </c>
      <c r="E2953" s="560"/>
      <c r="F2953" s="561"/>
    </row>
    <row r="2954" spans="1:10" x14ac:dyDescent="0.2">
      <c r="A2954" s="556" t="s">
        <v>1227</v>
      </c>
      <c r="B2954" s="562" t="s">
        <v>754</v>
      </c>
      <c r="C2954" s="563">
        <v>5.5E-2</v>
      </c>
      <c r="D2954" s="564">
        <f>D2947*C2954</f>
        <v>130116.64285714286</v>
      </c>
      <c r="E2954" s="560"/>
      <c r="F2954" s="561"/>
    </row>
    <row r="2955" spans="1:10" x14ac:dyDescent="0.2">
      <c r="A2955" s="556" t="s">
        <v>1228</v>
      </c>
      <c r="B2955" s="562" t="s">
        <v>323</v>
      </c>
      <c r="C2955" s="563">
        <v>0.06</v>
      </c>
      <c r="D2955" s="564">
        <f>D2947*C2955</f>
        <v>141945.42857142855</v>
      </c>
      <c r="E2955" s="560"/>
      <c r="F2955" s="561"/>
      <c r="G2955" s="299"/>
    </row>
    <row r="2956" spans="1:10" x14ac:dyDescent="0.2">
      <c r="A2956" s="556" t="s">
        <v>1229</v>
      </c>
      <c r="B2956" s="562" t="s">
        <v>642</v>
      </c>
      <c r="C2956" s="563">
        <v>0.05</v>
      </c>
      <c r="D2956" s="564">
        <f>C2956*D2947</f>
        <v>118287.85714285714</v>
      </c>
      <c r="E2956" s="560"/>
      <c r="F2956" s="561"/>
      <c r="G2956" s="299"/>
    </row>
    <row r="2957" spans="1:10" x14ac:dyDescent="0.2">
      <c r="A2957" s="556" t="s">
        <v>1230</v>
      </c>
      <c r="B2957" s="562" t="s">
        <v>259</v>
      </c>
      <c r="C2957" s="563">
        <v>0.04</v>
      </c>
      <c r="D2957" s="564">
        <f>C2957*D2947</f>
        <v>94630.28571428571</v>
      </c>
      <c r="E2957" s="560"/>
      <c r="F2957" s="561"/>
      <c r="G2957" s="299"/>
    </row>
    <row r="2958" spans="1:10" x14ac:dyDescent="0.2">
      <c r="A2958" s="556" t="s">
        <v>1231</v>
      </c>
      <c r="B2958" s="562" t="s">
        <v>260</v>
      </c>
      <c r="C2958" s="563">
        <v>0.05</v>
      </c>
      <c r="D2958" s="564">
        <f>C2958*D2947</f>
        <v>118287.85714285714</v>
      </c>
      <c r="E2958" s="560"/>
      <c r="F2958" s="561"/>
      <c r="G2958" s="299"/>
    </row>
    <row r="2959" spans="1:10" x14ac:dyDescent="0.2">
      <c r="A2959" s="556" t="s">
        <v>1232</v>
      </c>
      <c r="B2959" s="562" t="s">
        <v>272</v>
      </c>
      <c r="C2959" s="563">
        <v>0.04</v>
      </c>
      <c r="D2959" s="564">
        <f>C2959*D2947</f>
        <v>94630.28571428571</v>
      </c>
      <c r="E2959" s="560"/>
      <c r="F2959" s="561"/>
      <c r="G2959" s="299"/>
    </row>
    <row r="2960" spans="1:10" x14ac:dyDescent="0.2">
      <c r="A2960" s="556" t="s">
        <v>1233</v>
      </c>
      <c r="B2960" s="562" t="s">
        <v>273</v>
      </c>
      <c r="C2960" s="563">
        <v>0.02</v>
      </c>
      <c r="D2960" s="564">
        <f>C2960*D2947</f>
        <v>47315.142857142855</v>
      </c>
      <c r="E2960" s="560"/>
      <c r="F2960" s="561"/>
      <c r="G2960" s="299"/>
    </row>
    <row r="2961" spans="1:7" x14ac:dyDescent="0.2">
      <c r="A2961" s="556" t="s">
        <v>1234</v>
      </c>
      <c r="B2961" s="562" t="s">
        <v>261</v>
      </c>
      <c r="C2961" s="563">
        <v>0.03</v>
      </c>
      <c r="D2961" s="564">
        <f>C2961*D2947</f>
        <v>70972.714285714275</v>
      </c>
      <c r="E2961" s="560"/>
      <c r="F2961" s="561"/>
      <c r="G2961" s="299"/>
    </row>
    <row r="2962" spans="1:7" x14ac:dyDescent="0.2">
      <c r="A2962" s="556" t="s">
        <v>1235</v>
      </c>
      <c r="B2962" s="562" t="s">
        <v>262</v>
      </c>
      <c r="C2962" s="563">
        <v>0.02</v>
      </c>
      <c r="D2962" s="564">
        <f>C2962*D2947</f>
        <v>47315.142857142855</v>
      </c>
      <c r="E2962" s="560"/>
      <c r="F2962" s="561"/>
      <c r="G2962" s="299"/>
    </row>
    <row r="2963" spans="1:7" x14ac:dyDescent="0.2">
      <c r="A2963" s="556" t="s">
        <v>1236</v>
      </c>
      <c r="B2963" s="562" t="s">
        <v>341</v>
      </c>
      <c r="C2963" s="563">
        <v>0.1</v>
      </c>
      <c r="D2963" s="564">
        <f>C2963*D2947</f>
        <v>236575.71428571429</v>
      </c>
      <c r="E2963" s="560"/>
      <c r="F2963" s="561"/>
      <c r="G2963" s="299"/>
    </row>
    <row r="2964" spans="1:7" ht="45" x14ac:dyDescent="0.2">
      <c r="A2964" s="556" t="s">
        <v>1237</v>
      </c>
      <c r="B2964" s="562" t="s">
        <v>1083</v>
      </c>
      <c r="C2964" s="563">
        <v>7.0000000000000007E-2</v>
      </c>
      <c r="D2964" s="564">
        <f>C2964*D2947</f>
        <v>165603</v>
      </c>
      <c r="E2964" s="560"/>
      <c r="F2964" s="560"/>
      <c r="G2964" s="299"/>
    </row>
    <row r="2965" spans="1:7" x14ac:dyDescent="0.2">
      <c r="A2965" s="525">
        <v>4</v>
      </c>
      <c r="B2965" s="617" t="s">
        <v>859</v>
      </c>
      <c r="C2965" s="527"/>
      <c r="D2965" s="528">
        <f>SUM(D2966:D2967)</f>
        <v>275000</v>
      </c>
      <c r="E2965" s="529"/>
      <c r="F2965" s="530"/>
      <c r="G2965" s="299"/>
    </row>
    <row r="2966" spans="1:7" x14ac:dyDescent="0.2">
      <c r="A2966" s="531" t="s">
        <v>687</v>
      </c>
      <c r="B2966" s="532" t="s">
        <v>943</v>
      </c>
      <c r="C2966" s="533"/>
      <c r="D2966" s="534">
        <v>75000</v>
      </c>
      <c r="E2966" s="535"/>
      <c r="F2966" s="536"/>
      <c r="G2966" s="299"/>
    </row>
    <row r="2967" spans="1:7" x14ac:dyDescent="0.2">
      <c r="A2967" s="531" t="s">
        <v>689</v>
      </c>
      <c r="B2967" s="532" t="s">
        <v>1238</v>
      </c>
      <c r="C2967" s="533"/>
      <c r="D2967" s="534">
        <v>200000</v>
      </c>
      <c r="E2967" s="535"/>
      <c r="F2967" s="536"/>
      <c r="G2967" s="299"/>
    </row>
    <row r="2968" spans="1:7" x14ac:dyDescent="0.2">
      <c r="A2968" s="550"/>
      <c r="B2968" s="567" t="s">
        <v>735</v>
      </c>
      <c r="C2968" s="568">
        <f>SUM(C2948:C2964)</f>
        <v>0.86500000000000021</v>
      </c>
      <c r="D2968" s="569">
        <f>SUM(D2948:D2964)</f>
        <v>2046379.9285714286</v>
      </c>
      <c r="E2968" s="570"/>
      <c r="F2968" s="554"/>
      <c r="G2968" s="299"/>
    </row>
    <row r="2969" spans="1:7" x14ac:dyDescent="0.2">
      <c r="A2969" s="550"/>
      <c r="B2969" s="776" t="s">
        <v>1239</v>
      </c>
      <c r="C2969" s="777"/>
      <c r="D2969" s="778">
        <f>D2968+D2965+D2945+D2946</f>
        <v>3021379.9285714286</v>
      </c>
      <c r="E2969" s="570"/>
      <c r="F2969" s="554"/>
      <c r="G2969" s="299"/>
    </row>
    <row r="2970" spans="1:7" x14ac:dyDescent="0.2">
      <c r="A2970" s="550"/>
      <c r="B2970" s="776" t="s">
        <v>1240</v>
      </c>
      <c r="C2970" s="777"/>
      <c r="D2970" s="778">
        <f>D2944*1%</f>
        <v>39429.285714285717</v>
      </c>
      <c r="E2970" s="570"/>
      <c r="F2970" s="554"/>
      <c r="G2970" s="299"/>
    </row>
    <row r="2971" spans="1:7" x14ac:dyDescent="0.2">
      <c r="A2971" s="550"/>
      <c r="B2971" s="567" t="s">
        <v>132</v>
      </c>
      <c r="C2971" s="568">
        <v>0.05</v>
      </c>
      <c r="D2971" s="569">
        <f>C2971*D2947</f>
        <v>118287.85714285714</v>
      </c>
      <c r="E2971" s="570"/>
      <c r="F2971" s="554"/>
      <c r="G2971" s="299"/>
    </row>
    <row r="2972" spans="1:7" x14ac:dyDescent="0.2">
      <c r="A2972" s="550"/>
      <c r="B2972" s="779" t="s">
        <v>1241</v>
      </c>
      <c r="C2972" s="780"/>
      <c r="D2972" s="781">
        <f>D2969+D2970+D2971</f>
        <v>3179097.0714285718</v>
      </c>
      <c r="E2972" s="570"/>
      <c r="F2972" s="554"/>
      <c r="G2972" s="299"/>
    </row>
    <row r="2973" spans="1:7" ht="28.5" x14ac:dyDescent="0.2">
      <c r="A2973" s="550"/>
      <c r="B2973" s="567" t="s">
        <v>1242</v>
      </c>
      <c r="C2973" s="568">
        <f>D2973/D2942</f>
        <v>0.18449701998152204</v>
      </c>
      <c r="D2973" s="569">
        <f>D2944-D2969-D2970-D2971</f>
        <v>763831.49999999988</v>
      </c>
      <c r="E2973" s="570"/>
      <c r="F2973" s="554"/>
      <c r="G2973" s="299"/>
    </row>
    <row r="2974" spans="1:7" ht="28.5" x14ac:dyDescent="0.2">
      <c r="A2974" s="571"/>
      <c r="B2974" s="572" t="s">
        <v>375</v>
      </c>
      <c r="C2974" s="573">
        <f>D2974/D2942</f>
        <v>0.21306844855295062</v>
      </c>
      <c r="D2974" s="574">
        <f>D2973+D2971</f>
        <v>882119.35714285704</v>
      </c>
      <c r="E2974" s="575"/>
      <c r="F2974" s="575"/>
      <c r="G2974" s="299"/>
    </row>
    <row r="2975" spans="1:7" x14ac:dyDescent="0.2">
      <c r="A2975" s="267"/>
      <c r="B2975" s="174" t="s">
        <v>403</v>
      </c>
      <c r="C2975" s="585">
        <v>46174</v>
      </c>
      <c r="D2975" s="177"/>
      <c r="E2975" s="177"/>
      <c r="F2975" s="177"/>
    </row>
    <row r="2976" spans="1:7" x14ac:dyDescent="0.2">
      <c r="A2976" s="267"/>
      <c r="B2976" s="174" t="s">
        <v>569</v>
      </c>
      <c r="C2976" s="937"/>
      <c r="D2976" s="938"/>
      <c r="E2976" s="938"/>
      <c r="F2976" s="939"/>
    </row>
    <row r="2977" spans="1:9" x14ac:dyDescent="0.2">
      <c r="A2977" s="267"/>
      <c r="B2977" s="174" t="s">
        <v>1183</v>
      </c>
      <c r="C2977" s="937" t="s">
        <v>1243</v>
      </c>
      <c r="D2977" s="938"/>
      <c r="E2977" s="938"/>
      <c r="F2977" s="939"/>
    </row>
    <row r="2978" spans="1:9" x14ac:dyDescent="0.2">
      <c r="A2978" s="267"/>
      <c r="B2978" s="174" t="s">
        <v>541</v>
      </c>
      <c r="C2978" s="915" t="s">
        <v>1244</v>
      </c>
      <c r="D2978" s="916"/>
      <c r="E2978" s="916"/>
      <c r="F2978" s="917"/>
    </row>
    <row r="2979" spans="1:9" ht="52.5" customHeight="1" x14ac:dyDescent="0.2">
      <c r="A2979" s="588"/>
      <c r="B2979" s="459" t="s">
        <v>404</v>
      </c>
      <c r="C2979" s="918" t="s">
        <v>1245</v>
      </c>
      <c r="D2979" s="919"/>
      <c r="E2979" s="919"/>
      <c r="F2979" s="920"/>
      <c r="G2979" s="587"/>
      <c r="H2979" s="592"/>
      <c r="I2979" s="592"/>
    </row>
    <row r="2980" spans="1:9" ht="32.25" customHeight="1" x14ac:dyDescent="0.2">
      <c r="A2980" s="114"/>
      <c r="B2980" s="21" t="s">
        <v>919</v>
      </c>
      <c r="C2980" s="940">
        <v>414007.5</v>
      </c>
      <c r="D2980" s="941"/>
      <c r="E2980" s="941"/>
      <c r="F2980" s="942"/>
    </row>
    <row r="2981" spans="1:9" x14ac:dyDescent="0.2">
      <c r="A2981" s="589"/>
      <c r="B2981" s="590" t="s">
        <v>875</v>
      </c>
      <c r="C2981" s="943">
        <v>41400.75</v>
      </c>
      <c r="D2981" s="944"/>
      <c r="E2981" s="944"/>
      <c r="F2981" s="945"/>
    </row>
    <row r="2982" spans="1:9" x14ac:dyDescent="0.2">
      <c r="A2982" s="114"/>
      <c r="B2982" s="591" t="s">
        <v>1246</v>
      </c>
      <c r="C2982" s="946" t="s">
        <v>1247</v>
      </c>
      <c r="D2982" s="947"/>
      <c r="E2982" s="947"/>
      <c r="F2982" s="948"/>
    </row>
    <row r="2983" spans="1:9" x14ac:dyDescent="0.2">
      <c r="A2983" s="593"/>
      <c r="B2983" s="591" t="s">
        <v>792</v>
      </c>
      <c r="C2983" s="927" t="s">
        <v>1248</v>
      </c>
      <c r="D2983" s="928"/>
      <c r="E2983" s="928"/>
      <c r="F2983" s="929"/>
    </row>
    <row r="2984" spans="1:9" x14ac:dyDescent="0.2">
      <c r="A2984" s="782"/>
      <c r="B2984" s="691" t="s">
        <v>546</v>
      </c>
      <c r="C2984" s="930" t="s">
        <v>1249</v>
      </c>
      <c r="D2984" s="931"/>
      <c r="E2984" s="931"/>
      <c r="F2984" s="932"/>
    </row>
    <row r="2985" spans="1:9" ht="31.5" x14ac:dyDescent="0.2">
      <c r="A2985" s="783"/>
      <c r="B2985" s="784" t="s">
        <v>796</v>
      </c>
      <c r="C2985" s="895" t="s">
        <v>1250</v>
      </c>
      <c r="D2985" s="895"/>
      <c r="E2985" s="895"/>
      <c r="F2985" s="895"/>
    </row>
    <row r="2986" spans="1:9" ht="31.5" x14ac:dyDescent="0.2">
      <c r="A2986" s="785"/>
      <c r="B2986" s="786" t="s">
        <v>798</v>
      </c>
      <c r="C2986" s="933" t="s">
        <v>1251</v>
      </c>
      <c r="D2986" s="933"/>
      <c r="E2986" s="933"/>
      <c r="F2986" s="933"/>
    </row>
    <row r="2987" spans="1:9" x14ac:dyDescent="0.2">
      <c r="A2987" s="787"/>
      <c r="B2987" s="788" t="s">
        <v>1252</v>
      </c>
      <c r="C2987" s="901" t="s">
        <v>1253</v>
      </c>
      <c r="D2987" s="902"/>
      <c r="E2987" s="902"/>
      <c r="F2987" s="903"/>
    </row>
    <row r="2988" spans="1:9" x14ac:dyDescent="0.2">
      <c r="A2988" s="789"/>
      <c r="B2988" s="790"/>
      <c r="C2988" s="904"/>
      <c r="D2988" s="905"/>
      <c r="E2988" s="905"/>
      <c r="F2988" s="906"/>
    </row>
    <row r="2989" spans="1:9" ht="20.25" x14ac:dyDescent="0.2">
      <c r="A2989" s="907" t="s">
        <v>741</v>
      </c>
      <c r="B2989" s="908"/>
      <c r="C2989" s="908"/>
      <c r="D2989" s="908"/>
      <c r="E2989" s="908"/>
      <c r="F2989" s="909"/>
      <c r="G2989" s="250" t="s">
        <v>348</v>
      </c>
      <c r="H2989" s="250" t="s">
        <v>349</v>
      </c>
      <c r="I2989" s="251" t="s">
        <v>350</v>
      </c>
    </row>
    <row r="2990" spans="1:9" ht="57" customHeight="1" x14ac:dyDescent="0.2">
      <c r="A2990" s="804" t="s">
        <v>1254</v>
      </c>
      <c r="B2990" s="805"/>
      <c r="C2990" s="805"/>
      <c r="D2990" s="805"/>
      <c r="E2990" s="805"/>
      <c r="F2990" s="806"/>
      <c r="G2990" s="252">
        <v>0.1</v>
      </c>
      <c r="H2990" s="584">
        <f>D2991-D2991*G2990</f>
        <v>43184960.100000001</v>
      </c>
      <c r="I2990" s="253">
        <f>H2990-D2994-D3000-D3001-D3002-D3029-D3030-D3031-D3032</f>
        <v>5581914.1604999937</v>
      </c>
    </row>
    <row r="2991" spans="1:9" ht="18.75" x14ac:dyDescent="0.2">
      <c r="A2991" s="173"/>
      <c r="B2991" s="254"/>
      <c r="C2991" s="175"/>
      <c r="D2991" s="798">
        <v>47983289</v>
      </c>
      <c r="E2991" s="799"/>
      <c r="F2991" s="934"/>
      <c r="G2991" s="252">
        <v>0.15</v>
      </c>
      <c r="H2991" s="584">
        <f>D2991-D2991*G2991</f>
        <v>40785795.649999999</v>
      </c>
      <c r="I2991" s="253">
        <f>H2991-D2994-D3000-D3001-D3002-D3029-D3030-D3031-D3032</f>
        <v>3182749.7104999907</v>
      </c>
    </row>
    <row r="2992" spans="1:9" ht="18.75" x14ac:dyDescent="0.2">
      <c r="A2992" s="173"/>
      <c r="B2992" s="254" t="s">
        <v>1222</v>
      </c>
      <c r="C2992" s="175"/>
      <c r="D2992" s="798">
        <f>D2991/105*5</f>
        <v>2284918.5238095238</v>
      </c>
      <c r="E2992" s="799"/>
      <c r="F2992" s="799"/>
      <c r="G2992" s="252">
        <v>0.2</v>
      </c>
      <c r="H2992" s="695">
        <f>D2991-D2991*G2992</f>
        <v>38386631.200000003</v>
      </c>
      <c r="I2992" s="253">
        <f>H2992-D2994-D3000-D3001-D3002-D3029-D3030-D3031-D3032</f>
        <v>783585.2604999952</v>
      </c>
    </row>
    <row r="2993" spans="1:9" ht="18.75" x14ac:dyDescent="0.2">
      <c r="A2993" s="173"/>
      <c r="B2993" s="254" t="s">
        <v>1223</v>
      </c>
      <c r="C2993" s="175"/>
      <c r="D2993" s="798">
        <f>D2991-D2992</f>
        <v>45698370.476190478</v>
      </c>
      <c r="E2993" s="799"/>
      <c r="F2993" s="799"/>
      <c r="G2993" s="252"/>
      <c r="H2993" s="584"/>
      <c r="I2993" s="253"/>
    </row>
    <row r="2994" spans="1:9" ht="18.75" x14ac:dyDescent="0.2">
      <c r="A2994" s="464">
        <v>1</v>
      </c>
      <c r="B2994" s="465" t="s">
        <v>8</v>
      </c>
      <c r="C2994" s="466"/>
      <c r="D2994" s="467">
        <f>SUM(D2995:D2999)</f>
        <v>1800000</v>
      </c>
      <c r="E2994" s="467"/>
      <c r="F2994" s="468"/>
    </row>
    <row r="2995" spans="1:9" ht="37.5" x14ac:dyDescent="0.2">
      <c r="A2995" s="469" t="s">
        <v>1089</v>
      </c>
      <c r="B2995" s="339" t="s">
        <v>614</v>
      </c>
      <c r="C2995" s="340"/>
      <c r="D2995" s="341">
        <v>640000</v>
      </c>
      <c r="E2995" s="341"/>
      <c r="F2995" s="470"/>
      <c r="G2995" s="615"/>
    </row>
    <row r="2996" spans="1:9" ht="37.5" x14ac:dyDescent="0.2">
      <c r="A2996" s="469" t="s">
        <v>1091</v>
      </c>
      <c r="B2996" s="339" t="s">
        <v>616</v>
      </c>
      <c r="C2996" s="340"/>
      <c r="D2996" s="341">
        <v>230000</v>
      </c>
      <c r="E2996" s="341"/>
      <c r="F2996" s="470"/>
      <c r="G2996" s="587"/>
      <c r="H2996" s="592"/>
      <c r="I2996" s="592"/>
    </row>
    <row r="2997" spans="1:9" ht="37.5" x14ac:dyDescent="0.2">
      <c r="A2997" s="469" t="s">
        <v>1092</v>
      </c>
      <c r="B2997" s="339" t="s">
        <v>618</v>
      </c>
      <c r="C2997" s="340"/>
      <c r="D2997" s="341">
        <v>590000</v>
      </c>
      <c r="E2997" s="341"/>
      <c r="F2997" s="470"/>
    </row>
    <row r="2998" spans="1:9" ht="56.25" x14ac:dyDescent="0.2">
      <c r="A2998" s="469" t="s">
        <v>1255</v>
      </c>
      <c r="B2998" s="339" t="s">
        <v>620</v>
      </c>
      <c r="C2998" s="340"/>
      <c r="D2998" s="341">
        <v>190000</v>
      </c>
      <c r="E2998" s="341"/>
      <c r="F2998" s="470"/>
    </row>
    <row r="2999" spans="1:9" ht="37.5" x14ac:dyDescent="0.2">
      <c r="A2999" s="469" t="s">
        <v>1256</v>
      </c>
      <c r="B2999" s="339" t="s">
        <v>622</v>
      </c>
      <c r="C2999" s="340"/>
      <c r="D2999" s="341">
        <v>150000</v>
      </c>
      <c r="E2999" s="341"/>
      <c r="F2999" s="470"/>
    </row>
    <row r="3000" spans="1:9" ht="18.75" x14ac:dyDescent="0.2">
      <c r="A3000" s="471" t="s">
        <v>1035</v>
      </c>
      <c r="B3000" s="199" t="s">
        <v>624</v>
      </c>
      <c r="C3000" s="200"/>
      <c r="D3000" s="202">
        <v>1500000</v>
      </c>
      <c r="E3000" s="202"/>
      <c r="F3000" s="203"/>
    </row>
    <row r="3001" spans="1:9" ht="37.5" x14ac:dyDescent="0.2">
      <c r="A3001" s="471" t="s">
        <v>623</v>
      </c>
      <c r="B3001" s="199" t="s">
        <v>1257</v>
      </c>
      <c r="C3001" s="200"/>
      <c r="D3001" s="202">
        <v>1000000</v>
      </c>
      <c r="E3001" s="202"/>
      <c r="F3001" s="203" t="s">
        <v>1258</v>
      </c>
    </row>
    <row r="3002" spans="1:9" ht="54" x14ac:dyDescent="0.2">
      <c r="A3002" s="471" t="s">
        <v>625</v>
      </c>
      <c r="B3002" s="199" t="s">
        <v>1259</v>
      </c>
      <c r="C3002" s="200"/>
      <c r="D3002" s="202">
        <v>1850000</v>
      </c>
      <c r="E3002" s="202"/>
      <c r="F3002" s="203" t="s">
        <v>1260</v>
      </c>
    </row>
    <row r="3003" spans="1:9" ht="18.75" x14ac:dyDescent="0.2">
      <c r="A3003" s="472" t="s">
        <v>627</v>
      </c>
      <c r="B3003" s="473" t="s">
        <v>289</v>
      </c>
      <c r="C3003" s="474">
        <v>0.6</v>
      </c>
      <c r="D3003" s="475">
        <f>D2991*C3003</f>
        <v>28789973.399999999</v>
      </c>
      <c r="E3003" s="476"/>
      <c r="F3003" s="477"/>
    </row>
    <row r="3004" spans="1:9" ht="18.75" x14ac:dyDescent="0.2">
      <c r="A3004" s="478" t="s">
        <v>628</v>
      </c>
      <c r="B3004" s="479" t="s">
        <v>336</v>
      </c>
      <c r="C3004" s="480">
        <v>2.5000000000000001E-2</v>
      </c>
      <c r="D3004" s="481">
        <f>C3004*D3003</f>
        <v>719749.33499999996</v>
      </c>
      <c r="E3004" s="482"/>
      <c r="F3004" s="483"/>
    </row>
    <row r="3005" spans="1:9" ht="18.75" x14ac:dyDescent="0.2">
      <c r="A3005" s="484" t="s">
        <v>629</v>
      </c>
      <c r="B3005" s="479" t="s">
        <v>357</v>
      </c>
      <c r="C3005" s="480">
        <v>0.04</v>
      </c>
      <c r="D3005" s="485">
        <f>D3003*C3005</f>
        <v>1151598.936</v>
      </c>
      <c r="E3005" s="486"/>
      <c r="F3005" s="363"/>
    </row>
    <row r="3006" spans="1:9" ht="18.75" x14ac:dyDescent="0.2">
      <c r="A3006" s="478" t="s">
        <v>630</v>
      </c>
      <c r="B3006" s="479" t="s">
        <v>631</v>
      </c>
      <c r="C3006" s="480">
        <v>0.04</v>
      </c>
      <c r="D3006" s="485">
        <f>C3006*D3003</f>
        <v>1151598.936</v>
      </c>
      <c r="E3006" s="487"/>
      <c r="F3006" s="488"/>
    </row>
    <row r="3007" spans="1:9" ht="37.5" x14ac:dyDescent="0.2">
      <c r="A3007" s="478" t="s">
        <v>632</v>
      </c>
      <c r="B3007" s="479" t="s">
        <v>633</v>
      </c>
      <c r="C3007" s="489">
        <v>0.03</v>
      </c>
      <c r="D3007" s="318">
        <f>D3003*C3007</f>
        <v>863699.20199999993</v>
      </c>
      <c r="E3007" s="490"/>
      <c r="F3007" s="319"/>
    </row>
    <row r="3008" spans="1:9" ht="18.75" x14ac:dyDescent="0.2">
      <c r="A3008" s="484" t="s">
        <v>634</v>
      </c>
      <c r="B3008" s="479" t="s">
        <v>20</v>
      </c>
      <c r="C3008" s="489">
        <v>1.4999999999999999E-2</v>
      </c>
      <c r="D3008" s="318">
        <f>D3003*C3008</f>
        <v>431849.60099999997</v>
      </c>
      <c r="E3008" s="490"/>
      <c r="F3008" s="319"/>
    </row>
    <row r="3009" spans="1:6" ht="18.75" x14ac:dyDescent="0.2">
      <c r="A3009" s="478" t="s">
        <v>635</v>
      </c>
      <c r="B3009" s="479" t="s">
        <v>1261</v>
      </c>
      <c r="C3009" s="489">
        <v>7.0000000000000007E-2</v>
      </c>
      <c r="D3009" s="318">
        <f>D3003*C3009</f>
        <v>2015298.138</v>
      </c>
      <c r="E3009" s="490"/>
      <c r="F3009" s="319"/>
    </row>
    <row r="3010" spans="1:6" ht="18.75" x14ac:dyDescent="0.2">
      <c r="A3010" s="478" t="s">
        <v>636</v>
      </c>
      <c r="B3010" s="479" t="s">
        <v>1262</v>
      </c>
      <c r="C3010" s="489">
        <v>0.1</v>
      </c>
      <c r="D3010" s="318">
        <f>D3003*C3010</f>
        <v>2878997.34</v>
      </c>
      <c r="E3010" s="490"/>
      <c r="F3010" s="319"/>
    </row>
    <row r="3011" spans="1:6" ht="18.75" x14ac:dyDescent="0.2">
      <c r="A3011" s="484" t="s">
        <v>637</v>
      </c>
      <c r="B3011" s="479" t="s">
        <v>1263</v>
      </c>
      <c r="C3011" s="489">
        <v>0.05</v>
      </c>
      <c r="D3011" s="318">
        <f>D3003*C3011</f>
        <v>1439498.67</v>
      </c>
      <c r="E3011" s="490"/>
      <c r="F3011" s="319"/>
    </row>
    <row r="3012" spans="1:6" ht="18.75" x14ac:dyDescent="0.2">
      <c r="A3012" s="478" t="s">
        <v>638</v>
      </c>
      <c r="B3012" s="479" t="s">
        <v>1264</v>
      </c>
      <c r="C3012" s="489">
        <v>0.03</v>
      </c>
      <c r="D3012" s="318">
        <f>D3003*C3012</f>
        <v>863699.20199999993</v>
      </c>
      <c r="E3012" s="490"/>
      <c r="F3012" s="319"/>
    </row>
    <row r="3013" spans="1:6" ht="18.75" x14ac:dyDescent="0.2">
      <c r="A3013" s="478" t="s">
        <v>639</v>
      </c>
      <c r="B3013" s="479" t="s">
        <v>1265</v>
      </c>
      <c r="C3013" s="489">
        <v>0.03</v>
      </c>
      <c r="D3013" s="318">
        <f>D3003*C3013</f>
        <v>863699.20199999993</v>
      </c>
      <c r="E3013" s="490"/>
      <c r="F3013" s="319"/>
    </row>
    <row r="3014" spans="1:6" ht="18.75" x14ac:dyDescent="0.2">
      <c r="A3014" s="484" t="s">
        <v>640</v>
      </c>
      <c r="B3014" s="479" t="s">
        <v>600</v>
      </c>
      <c r="C3014" s="489">
        <v>0.06</v>
      </c>
      <c r="D3014" s="318">
        <f>D3003*C3014</f>
        <v>1727398.4039999999</v>
      </c>
      <c r="E3014" s="490"/>
      <c r="F3014" s="319"/>
    </row>
    <row r="3015" spans="1:6" ht="75" x14ac:dyDescent="0.2">
      <c r="A3015" s="478" t="s">
        <v>641</v>
      </c>
      <c r="B3015" s="479" t="s">
        <v>1266</v>
      </c>
      <c r="C3015" s="489">
        <v>7.0000000000000007E-2</v>
      </c>
      <c r="D3015" s="318">
        <f>D3003*C3015</f>
        <v>2015298.138</v>
      </c>
      <c r="E3015" s="490"/>
      <c r="F3015" s="319"/>
    </row>
    <row r="3016" spans="1:6" ht="18.75" x14ac:dyDescent="0.2">
      <c r="A3016" s="478" t="s">
        <v>643</v>
      </c>
      <c r="B3016" s="479" t="s">
        <v>725</v>
      </c>
      <c r="C3016" s="489">
        <v>0.04</v>
      </c>
      <c r="D3016" s="318">
        <f>D3003*C3016</f>
        <v>1151598.936</v>
      </c>
      <c r="E3016" s="490"/>
      <c r="F3016" s="319"/>
    </row>
    <row r="3017" spans="1:6" ht="18.75" x14ac:dyDescent="0.2">
      <c r="A3017" s="484" t="s">
        <v>644</v>
      </c>
      <c r="B3017" s="479" t="s">
        <v>260</v>
      </c>
      <c r="C3017" s="489">
        <v>0.02</v>
      </c>
      <c r="D3017" s="318">
        <f>D3003*C3017</f>
        <v>575799.46799999999</v>
      </c>
      <c r="E3017" s="490"/>
      <c r="F3017" s="319"/>
    </row>
    <row r="3018" spans="1:6" ht="18.75" x14ac:dyDescent="0.2">
      <c r="A3018" s="478" t="s">
        <v>645</v>
      </c>
      <c r="B3018" s="479" t="s">
        <v>272</v>
      </c>
      <c r="C3018" s="489">
        <v>1.4999999999999999E-2</v>
      </c>
      <c r="D3018" s="318">
        <f>D3003*C3018</f>
        <v>431849.60099999997</v>
      </c>
      <c r="E3018" s="490"/>
      <c r="F3018" s="319"/>
    </row>
    <row r="3019" spans="1:6" ht="18.75" x14ac:dyDescent="0.2">
      <c r="A3019" s="478" t="s">
        <v>646</v>
      </c>
      <c r="B3019" s="479" t="s">
        <v>1267</v>
      </c>
      <c r="C3019" s="489">
        <v>2.5000000000000001E-2</v>
      </c>
      <c r="D3019" s="318">
        <f>D3003*C3019</f>
        <v>719749.33499999996</v>
      </c>
      <c r="E3019" s="490"/>
      <c r="F3019" s="319"/>
    </row>
    <row r="3020" spans="1:6" ht="18.75" x14ac:dyDescent="0.2">
      <c r="A3020" s="484" t="s">
        <v>647</v>
      </c>
      <c r="B3020" s="479" t="s">
        <v>273</v>
      </c>
      <c r="C3020" s="489">
        <v>7.4999999999999997E-3</v>
      </c>
      <c r="D3020" s="318">
        <f>D3003*C3020</f>
        <v>215924.80049999998</v>
      </c>
      <c r="E3020" s="490"/>
      <c r="F3020" s="319" t="s">
        <v>315</v>
      </c>
    </row>
    <row r="3021" spans="1:6" ht="18.75" x14ac:dyDescent="0.2">
      <c r="A3021" s="478" t="s">
        <v>648</v>
      </c>
      <c r="B3021" s="479" t="s">
        <v>262</v>
      </c>
      <c r="C3021" s="489">
        <v>7.4999999999999997E-3</v>
      </c>
      <c r="D3021" s="318">
        <f>D3003*C3021</f>
        <v>215924.80049999998</v>
      </c>
      <c r="E3021" s="490"/>
      <c r="F3021" s="319"/>
    </row>
    <row r="3022" spans="1:6" ht="18.75" x14ac:dyDescent="0.2">
      <c r="A3022" s="478" t="s">
        <v>649</v>
      </c>
      <c r="B3022" s="479" t="s">
        <v>341</v>
      </c>
      <c r="C3022" s="489">
        <v>7.0000000000000007E-2</v>
      </c>
      <c r="D3022" s="318">
        <f>D3003*C3022</f>
        <v>2015298.138</v>
      </c>
      <c r="E3022" s="490"/>
      <c r="F3022" s="319"/>
    </row>
    <row r="3023" spans="1:6" ht="18.75" x14ac:dyDescent="0.2">
      <c r="A3023" s="484" t="s">
        <v>650</v>
      </c>
      <c r="B3023" s="479" t="s">
        <v>651</v>
      </c>
      <c r="C3023" s="489">
        <v>0.01</v>
      </c>
      <c r="D3023" s="318">
        <f>C3023*D3003</f>
        <v>287899.734</v>
      </c>
      <c r="E3023" s="490"/>
      <c r="F3023" s="319"/>
    </row>
    <row r="3024" spans="1:6" ht="18.75" x14ac:dyDescent="0.2">
      <c r="A3024" s="478" t="s">
        <v>652</v>
      </c>
      <c r="B3024" s="479" t="s">
        <v>653</v>
      </c>
      <c r="C3024" s="489">
        <v>6.5000000000000002E-2</v>
      </c>
      <c r="D3024" s="318">
        <f>C3024*D3003</f>
        <v>1871348.2709999999</v>
      </c>
      <c r="E3024" s="490"/>
      <c r="F3024" s="319"/>
    </row>
    <row r="3025" spans="1:6" ht="18.75" x14ac:dyDescent="0.2">
      <c r="A3025" s="478"/>
      <c r="B3025" s="479" t="s">
        <v>1268</v>
      </c>
      <c r="C3025" s="489">
        <v>0</v>
      </c>
      <c r="D3025" s="318"/>
      <c r="E3025" s="490"/>
      <c r="F3025" s="319" t="s">
        <v>1269</v>
      </c>
    </row>
    <row r="3026" spans="1:6" ht="18.75" x14ac:dyDescent="0.2">
      <c r="A3026" s="478"/>
      <c r="B3026" s="479" t="s">
        <v>886</v>
      </c>
      <c r="C3026" s="489">
        <v>0.06</v>
      </c>
      <c r="D3026" s="318">
        <f>C3026*D3003</f>
        <v>1727398.4039999999</v>
      </c>
      <c r="E3026" s="490"/>
      <c r="F3026" s="319"/>
    </row>
    <row r="3027" spans="1:6" ht="18.75" x14ac:dyDescent="0.2">
      <c r="A3027" s="478"/>
      <c r="B3027" s="479" t="s">
        <v>816</v>
      </c>
      <c r="C3027" s="489">
        <v>7.4999999999999997E-3</v>
      </c>
      <c r="D3027" s="318">
        <f>C3027*D3003</f>
        <v>215924.80049999998</v>
      </c>
      <c r="E3027" s="490"/>
      <c r="F3027" s="319"/>
    </row>
    <row r="3028" spans="1:6" ht="18.75" x14ac:dyDescent="0.2">
      <c r="A3028" s="471" t="s">
        <v>655</v>
      </c>
      <c r="B3028" s="201" t="s">
        <v>656</v>
      </c>
      <c r="C3028" s="206"/>
      <c r="D3028" s="202"/>
      <c r="E3028" s="207"/>
      <c r="F3028" s="203"/>
    </row>
    <row r="3029" spans="1:6" ht="36" x14ac:dyDescent="0.2">
      <c r="A3029" s="471" t="s">
        <v>657</v>
      </c>
      <c r="B3029" s="201" t="s">
        <v>343</v>
      </c>
      <c r="C3029" s="206">
        <v>2.5000000000000001E-2</v>
      </c>
      <c r="D3029" s="202">
        <f>C3029*D3003</f>
        <v>719749.33499999996</v>
      </c>
      <c r="E3029" s="207"/>
      <c r="F3029" s="203" t="s">
        <v>1270</v>
      </c>
    </row>
    <row r="3030" spans="1:6" ht="18.75" x14ac:dyDescent="0.2">
      <c r="A3030" s="471" t="s">
        <v>658</v>
      </c>
      <c r="B3030" s="201" t="s">
        <v>659</v>
      </c>
      <c r="C3030" s="206">
        <v>0.08</v>
      </c>
      <c r="D3030" s="202">
        <f>C3030*D3003</f>
        <v>2303197.872</v>
      </c>
      <c r="E3030" s="207"/>
      <c r="F3030" s="203"/>
    </row>
    <row r="3031" spans="1:6" ht="18.75" x14ac:dyDescent="0.2">
      <c r="A3031" s="471" t="s">
        <v>660</v>
      </c>
      <c r="B3031" s="201" t="s">
        <v>132</v>
      </c>
      <c r="C3031" s="206">
        <v>0.1</v>
      </c>
      <c r="D3031" s="202">
        <f>D3003*C3031</f>
        <v>2878997.34</v>
      </c>
      <c r="E3031" s="211"/>
      <c r="F3031" s="212"/>
    </row>
    <row r="3032" spans="1:6" x14ac:dyDescent="0.2">
      <c r="A3032" s="550"/>
      <c r="B3032" s="567" t="s">
        <v>735</v>
      </c>
      <c r="C3032" s="568">
        <f>SUM(C3004:C3027)</f>
        <v>0.88750000000000007</v>
      </c>
      <c r="D3032" s="569">
        <f>SUM(D3004:D3027)</f>
        <v>25551101.392500006</v>
      </c>
      <c r="E3032" s="570"/>
      <c r="F3032" s="554"/>
    </row>
    <row r="3033" spans="1:6" ht="28.5" x14ac:dyDescent="0.2">
      <c r="A3033" s="550"/>
      <c r="B3033" s="567" t="s">
        <v>1242</v>
      </c>
      <c r="C3033" s="568">
        <f>D3033/D2991</f>
        <v>0.16871133066119054</v>
      </c>
      <c r="D3033" s="569">
        <f>D2993-D2994-D3000-D3001-D3002-D3029-D3030-D3031-D3032</f>
        <v>8095324.5366904661</v>
      </c>
      <c r="E3033" s="570"/>
      <c r="F3033" s="554"/>
    </row>
    <row r="3034" spans="1:6" ht="28.5" x14ac:dyDescent="0.2">
      <c r="A3034" s="571"/>
      <c r="B3034" s="572" t="s">
        <v>375</v>
      </c>
      <c r="C3034" s="573">
        <f>D3034/D2991</f>
        <v>0.22871133066119051</v>
      </c>
      <c r="D3034" s="574">
        <f>D3033+D3031</f>
        <v>10974321.876690466</v>
      </c>
      <c r="E3034" s="575"/>
      <c r="F3034" s="575"/>
    </row>
    <row r="3035" spans="1:6" x14ac:dyDescent="0.2">
      <c r="A3035" s="267"/>
      <c r="B3035" s="174" t="s">
        <v>403</v>
      </c>
      <c r="C3035" s="585">
        <v>46184</v>
      </c>
      <c r="D3035" s="177"/>
      <c r="E3035" s="177"/>
      <c r="F3035" s="177"/>
    </row>
    <row r="3036" spans="1:6" x14ac:dyDescent="0.2">
      <c r="A3036" s="267"/>
      <c r="B3036" s="174" t="s">
        <v>569</v>
      </c>
      <c r="C3036" s="935" t="s">
        <v>1271</v>
      </c>
      <c r="D3036" s="936"/>
      <c r="E3036" s="936"/>
      <c r="F3036" s="936"/>
    </row>
    <row r="3037" spans="1:6" x14ac:dyDescent="0.2">
      <c r="A3037" s="267"/>
      <c r="B3037" s="174" t="s">
        <v>1183</v>
      </c>
      <c r="C3037" s="912" t="s">
        <v>1272</v>
      </c>
      <c r="D3037" s="913"/>
      <c r="E3037" s="913"/>
      <c r="F3037" s="914"/>
    </row>
    <row r="3038" spans="1:6" x14ac:dyDescent="0.2">
      <c r="A3038" s="267"/>
      <c r="B3038" s="174" t="s">
        <v>541</v>
      </c>
      <c r="C3038" s="915" t="s">
        <v>1273</v>
      </c>
      <c r="D3038" s="916"/>
      <c r="E3038" s="916"/>
      <c r="F3038" s="917"/>
    </row>
    <row r="3039" spans="1:6" ht="34.5" customHeight="1" x14ac:dyDescent="0.2">
      <c r="A3039" s="588"/>
      <c r="B3039" s="459" t="s">
        <v>1274</v>
      </c>
      <c r="C3039" s="918" t="s">
        <v>1245</v>
      </c>
      <c r="D3039" s="919"/>
      <c r="E3039" s="919"/>
      <c r="F3039" s="920"/>
    </row>
    <row r="3040" spans="1:6" x14ac:dyDescent="0.2">
      <c r="A3040" s="114"/>
      <c r="B3040" s="21" t="s">
        <v>919</v>
      </c>
      <c r="C3040" s="921">
        <v>4798328.9000000004</v>
      </c>
      <c r="D3040" s="922"/>
      <c r="E3040" s="922"/>
      <c r="F3040" s="923"/>
    </row>
    <row r="3041" spans="1:7" x14ac:dyDescent="0.2">
      <c r="A3041" s="589"/>
      <c r="B3041" s="590" t="s">
        <v>875</v>
      </c>
      <c r="C3041" s="921">
        <v>479832.89</v>
      </c>
      <c r="D3041" s="922"/>
      <c r="E3041" s="922"/>
      <c r="F3041" s="923"/>
    </row>
    <row r="3042" spans="1:7" x14ac:dyDescent="0.2">
      <c r="A3042" s="589"/>
      <c r="B3042" s="590" t="s">
        <v>1275</v>
      </c>
      <c r="C3042" s="921">
        <v>2399164.4500000002</v>
      </c>
      <c r="D3042" s="922"/>
      <c r="E3042" s="922"/>
      <c r="F3042" s="923"/>
    </row>
    <row r="3043" spans="1:7" x14ac:dyDescent="0.2">
      <c r="A3043" s="114"/>
      <c r="B3043" s="591" t="s">
        <v>1246</v>
      </c>
      <c r="C3043" s="924" t="s">
        <v>1276</v>
      </c>
      <c r="D3043" s="925"/>
      <c r="E3043" s="925"/>
      <c r="F3043" s="926"/>
    </row>
    <row r="3044" spans="1:7" x14ac:dyDescent="0.2">
      <c r="A3044" s="593"/>
      <c r="B3044" s="591" t="s">
        <v>792</v>
      </c>
      <c r="C3044" s="927" t="s">
        <v>1277</v>
      </c>
      <c r="D3044" s="928"/>
      <c r="E3044" s="928"/>
      <c r="F3044" s="929"/>
    </row>
    <row r="3045" spans="1:7" ht="276" customHeight="1" x14ac:dyDescent="0.2">
      <c r="A3045" s="782"/>
      <c r="B3045" s="691" t="s">
        <v>546</v>
      </c>
      <c r="C3045" s="930" t="s">
        <v>1278</v>
      </c>
      <c r="D3045" s="931"/>
      <c r="E3045" s="931"/>
      <c r="F3045" s="932"/>
    </row>
    <row r="3046" spans="1:7" ht="31.5" x14ac:dyDescent="0.2">
      <c r="A3046" s="783"/>
      <c r="B3046" s="784" t="s">
        <v>796</v>
      </c>
      <c r="C3046" s="895"/>
      <c r="D3046" s="895"/>
      <c r="E3046" s="895"/>
      <c r="F3046" s="895"/>
    </row>
    <row r="3047" spans="1:7" ht="31.5" x14ac:dyDescent="0.2">
      <c r="A3047" s="785"/>
      <c r="B3047" s="786" t="s">
        <v>798</v>
      </c>
      <c r="C3047" s="896" t="s">
        <v>1279</v>
      </c>
      <c r="D3047" s="897"/>
      <c r="E3047" s="897"/>
      <c r="F3047" s="898"/>
    </row>
    <row r="3048" spans="1:7" x14ac:dyDescent="0.2">
      <c r="A3048" s="787"/>
      <c r="B3048" s="899" t="s">
        <v>1252</v>
      </c>
      <c r="C3048" s="901"/>
      <c r="D3048" s="902"/>
      <c r="E3048" s="902"/>
      <c r="F3048" s="903"/>
    </row>
    <row r="3049" spans="1:7" x14ac:dyDescent="0.2">
      <c r="A3049" s="789"/>
      <c r="B3049" s="900"/>
      <c r="C3049" s="904"/>
      <c r="D3049" s="905"/>
      <c r="E3049" s="905"/>
      <c r="F3049" s="906"/>
    </row>
    <row r="3050" spans="1:7" ht="20.25" x14ac:dyDescent="0.2">
      <c r="A3050" s="907" t="s">
        <v>673</v>
      </c>
      <c r="B3050" s="908"/>
      <c r="C3050" s="908"/>
      <c r="D3050" s="908"/>
      <c r="E3050" s="908"/>
      <c r="F3050" s="909"/>
    </row>
    <row r="3051" spans="1:7" ht="80.25" customHeight="1" x14ac:dyDescent="0.2">
      <c r="A3051" s="804" t="s">
        <v>1280</v>
      </c>
      <c r="B3051" s="805"/>
      <c r="C3051" s="805"/>
      <c r="D3051" s="805"/>
      <c r="E3051" s="805"/>
      <c r="F3051" s="806"/>
    </row>
    <row r="3052" spans="1:7" ht="19.5" customHeight="1" x14ac:dyDescent="0.2">
      <c r="A3052" s="172"/>
      <c r="B3052" s="172"/>
      <c r="C3052" s="172"/>
      <c r="D3052" s="910">
        <f>D3053*0.05+D3053</f>
        <v>11445000</v>
      </c>
      <c r="E3052" s="805"/>
      <c r="F3052" s="911"/>
      <c r="G3052" s="615">
        <f>D3052-D3053</f>
        <v>545000</v>
      </c>
    </row>
    <row r="3053" spans="1:7" x14ac:dyDescent="0.2">
      <c r="A3053" s="173">
        <v>1</v>
      </c>
      <c r="B3053" s="254" t="s">
        <v>352</v>
      </c>
      <c r="C3053" s="175"/>
      <c r="D3053" s="798">
        <v>10900000</v>
      </c>
      <c r="E3053" s="799"/>
      <c r="F3053" s="800"/>
      <c r="G3053" s="615"/>
    </row>
    <row r="3054" spans="1:7" x14ac:dyDescent="0.2">
      <c r="A3054" s="173">
        <v>2</v>
      </c>
      <c r="B3054" s="260" t="s">
        <v>1281</v>
      </c>
      <c r="C3054" s="1"/>
      <c r="D3054" s="259">
        <f>SUM(D3055:D3057)</f>
        <v>500000</v>
      </c>
      <c r="E3054" s="177"/>
      <c r="F3054" s="178"/>
    </row>
    <row r="3055" spans="1:7" x14ac:dyDescent="0.2">
      <c r="A3055" s="173">
        <v>3</v>
      </c>
      <c r="B3055" s="260" t="s">
        <v>353</v>
      </c>
      <c r="C3055" s="791"/>
      <c r="D3055" s="261">
        <v>200000</v>
      </c>
      <c r="E3055" s="177"/>
      <c r="F3055" s="178"/>
    </row>
    <row r="3056" spans="1:7" x14ac:dyDescent="0.2">
      <c r="A3056" s="173">
        <v>4</v>
      </c>
      <c r="B3056" s="260" t="s">
        <v>681</v>
      </c>
      <c r="C3056" s="791"/>
      <c r="D3056" s="261">
        <v>150000</v>
      </c>
      <c r="E3056" s="177"/>
      <c r="F3056" s="178"/>
    </row>
    <row r="3057" spans="1:6" x14ac:dyDescent="0.2">
      <c r="A3057" s="173">
        <v>5</v>
      </c>
      <c r="B3057" s="260" t="s">
        <v>532</v>
      </c>
      <c r="C3057" s="791"/>
      <c r="D3057" s="261">
        <v>150000</v>
      </c>
      <c r="E3057" s="177"/>
      <c r="F3057" s="178"/>
    </row>
    <row r="3058" spans="1:6" ht="29.25" x14ac:dyDescent="0.2">
      <c r="A3058" s="173">
        <v>6</v>
      </c>
      <c r="B3058" s="257" t="s">
        <v>1282</v>
      </c>
      <c r="C3058" s="258">
        <v>0.6</v>
      </c>
      <c r="D3058" s="259">
        <f>D3053*C3058</f>
        <v>6540000</v>
      </c>
      <c r="E3058" s="177"/>
      <c r="F3058" s="178"/>
    </row>
    <row r="3059" spans="1:6" x14ac:dyDescent="0.2">
      <c r="A3059" s="173">
        <v>7</v>
      </c>
      <c r="B3059" s="260" t="s">
        <v>355</v>
      </c>
      <c r="C3059" s="258">
        <v>0.05</v>
      </c>
      <c r="D3059" s="261">
        <f>C3059*D3058</f>
        <v>327000</v>
      </c>
      <c r="E3059" s="177"/>
      <c r="F3059" s="178"/>
    </row>
    <row r="3060" spans="1:6" x14ac:dyDescent="0.2">
      <c r="A3060" s="173">
        <v>8</v>
      </c>
      <c r="B3060" s="260" t="s">
        <v>356</v>
      </c>
      <c r="C3060" s="258">
        <v>0.05</v>
      </c>
      <c r="D3060" s="261">
        <f>D3058*C3060</f>
        <v>327000</v>
      </c>
      <c r="E3060" s="178"/>
      <c r="F3060" s="178"/>
    </row>
    <row r="3061" spans="1:6" x14ac:dyDescent="0.2">
      <c r="A3061" s="173">
        <v>9</v>
      </c>
      <c r="B3061" s="260" t="s">
        <v>70</v>
      </c>
      <c r="C3061" s="258">
        <v>0.05</v>
      </c>
      <c r="D3061" s="261">
        <f>D3058*C3061</f>
        <v>327000</v>
      </c>
      <c r="E3061" s="177"/>
      <c r="F3061" s="178"/>
    </row>
    <row r="3062" spans="1:6" x14ac:dyDescent="0.2">
      <c r="A3062" s="173">
        <v>10</v>
      </c>
      <c r="B3062" s="260" t="s">
        <v>236</v>
      </c>
      <c r="C3062" s="258">
        <v>0.04</v>
      </c>
      <c r="D3062" s="261">
        <f>C3062*D3058</f>
        <v>261600</v>
      </c>
      <c r="E3062" s="177"/>
      <c r="F3062" s="178"/>
    </row>
    <row r="3063" spans="1:6" x14ac:dyDescent="0.2">
      <c r="A3063" s="173">
        <v>11</v>
      </c>
      <c r="B3063" s="254" t="s">
        <v>396</v>
      </c>
      <c r="C3063" s="263">
        <v>0.03</v>
      </c>
      <c r="D3063" s="256">
        <f>C3063*D3058</f>
        <v>196200</v>
      </c>
      <c r="E3063" s="177"/>
      <c r="F3063" s="178"/>
    </row>
    <row r="3064" spans="1:6" x14ac:dyDescent="0.2">
      <c r="A3064" s="173">
        <v>12</v>
      </c>
      <c r="B3064" s="254" t="s">
        <v>234</v>
      </c>
      <c r="C3064" s="263">
        <v>0.04</v>
      </c>
      <c r="D3064" s="256">
        <f>C3064*D3058</f>
        <v>261600</v>
      </c>
      <c r="E3064" s="177"/>
      <c r="F3064" s="178"/>
    </row>
    <row r="3065" spans="1:6" x14ac:dyDescent="0.2">
      <c r="A3065" s="173">
        <v>13</v>
      </c>
      <c r="B3065" s="254" t="s">
        <v>509</v>
      </c>
      <c r="C3065" s="263">
        <v>0.03</v>
      </c>
      <c r="D3065" s="256">
        <f>C3065*D3058</f>
        <v>196200</v>
      </c>
      <c r="E3065" s="177"/>
      <c r="F3065" s="178"/>
    </row>
    <row r="3066" spans="1:6" x14ac:dyDescent="0.2">
      <c r="A3066" s="173">
        <v>14</v>
      </c>
      <c r="B3066" s="254" t="s">
        <v>1283</v>
      </c>
      <c r="C3066" s="263">
        <v>0.04</v>
      </c>
      <c r="D3066" s="256">
        <f>C3066*D3058</f>
        <v>261600</v>
      </c>
      <c r="E3066" s="177"/>
      <c r="F3066" s="178"/>
    </row>
    <row r="3067" spans="1:6" x14ac:dyDescent="0.2">
      <c r="A3067" s="173">
        <v>15</v>
      </c>
      <c r="B3067" s="254" t="s">
        <v>341</v>
      </c>
      <c r="C3067" s="263">
        <v>0.05</v>
      </c>
      <c r="D3067" s="256">
        <f>C3067*D3058</f>
        <v>327000</v>
      </c>
      <c r="E3067" s="177"/>
      <c r="F3067" s="178"/>
    </row>
    <row r="3068" spans="1:6" x14ac:dyDescent="0.2">
      <c r="A3068" s="173">
        <v>16</v>
      </c>
      <c r="B3068" s="254" t="s">
        <v>631</v>
      </c>
      <c r="C3068" s="263">
        <v>0.05</v>
      </c>
      <c r="D3068" s="256">
        <f>C3068*D3058</f>
        <v>327000</v>
      </c>
      <c r="E3068" s="177"/>
      <c r="F3068" s="178" t="s">
        <v>1284</v>
      </c>
    </row>
    <row r="3069" spans="1:6" x14ac:dyDescent="0.2">
      <c r="A3069" s="173">
        <v>17</v>
      </c>
      <c r="B3069" s="254" t="s">
        <v>281</v>
      </c>
      <c r="C3069" s="263">
        <v>0.02</v>
      </c>
      <c r="D3069" s="256">
        <f>C3069*D3058</f>
        <v>130800</v>
      </c>
      <c r="E3069" s="177"/>
      <c r="F3069" s="178"/>
    </row>
    <row r="3070" spans="1:6" x14ac:dyDescent="0.2">
      <c r="A3070" s="173">
        <v>18</v>
      </c>
      <c r="B3070" s="254" t="s">
        <v>1285</v>
      </c>
      <c r="C3070" s="263">
        <v>0.03</v>
      </c>
      <c r="D3070" s="256">
        <f>C3070*D3058</f>
        <v>196200</v>
      </c>
      <c r="E3070" s="177"/>
      <c r="F3070" s="178"/>
    </row>
    <row r="3071" spans="1:6" ht="30" x14ac:dyDescent="0.2">
      <c r="A3071" s="173">
        <v>19</v>
      </c>
      <c r="B3071" s="254" t="s">
        <v>100</v>
      </c>
      <c r="C3071" s="263">
        <v>0.05</v>
      </c>
      <c r="D3071" s="256">
        <f>C3071*D3058</f>
        <v>327000</v>
      </c>
      <c r="E3071" s="187"/>
      <c r="F3071" s="178"/>
    </row>
    <row r="3072" spans="1:6" x14ac:dyDescent="0.2">
      <c r="A3072" s="173"/>
      <c r="B3072" s="254" t="s">
        <v>1286</v>
      </c>
      <c r="C3072" s="263"/>
      <c r="D3072" s="256">
        <v>2000000</v>
      </c>
      <c r="E3072" s="187"/>
      <c r="F3072" s="178" t="s">
        <v>1287</v>
      </c>
    </row>
    <row r="3073" spans="1:7" x14ac:dyDescent="0.2">
      <c r="A3073" s="173"/>
      <c r="B3073" s="264" t="s">
        <v>374</v>
      </c>
      <c r="C3073" s="265">
        <f>SUM(C3059:C3071)</f>
        <v>0.53</v>
      </c>
      <c r="D3073" s="266">
        <f>SUM(D3059:D3072)</f>
        <v>5466200</v>
      </c>
      <c r="E3073" s="187"/>
      <c r="F3073" s="178"/>
    </row>
    <row r="3074" spans="1:7" x14ac:dyDescent="0.2">
      <c r="A3074" s="173"/>
      <c r="B3074" s="264" t="s">
        <v>132</v>
      </c>
      <c r="C3074" s="265">
        <v>0.1</v>
      </c>
      <c r="D3074" s="256">
        <f>C3074*D3058</f>
        <v>654000</v>
      </c>
      <c r="E3074" s="187"/>
      <c r="F3074" s="178"/>
    </row>
    <row r="3075" spans="1:7" ht="28.5" x14ac:dyDescent="0.2">
      <c r="A3075" s="267"/>
      <c r="B3075" s="264" t="s">
        <v>1288</v>
      </c>
      <c r="C3075" s="265">
        <f>D3075/D3053</f>
        <v>0.39264220183486237</v>
      </c>
      <c r="D3075" s="256">
        <f>D3053-D3073-D3074-D3054</f>
        <v>4279800</v>
      </c>
      <c r="E3075" s="177"/>
      <c r="F3075" s="178"/>
    </row>
    <row r="3076" spans="1:7" ht="28.5" x14ac:dyDescent="0.2">
      <c r="A3076" s="267"/>
      <c r="B3076" s="264" t="s">
        <v>375</v>
      </c>
      <c r="C3076" s="268">
        <f>D3076/D3053</f>
        <v>0.45264220183486237</v>
      </c>
      <c r="D3076" s="269">
        <f>D3075+D3074</f>
        <v>4933800</v>
      </c>
      <c r="E3076" s="177"/>
      <c r="F3076" s="178"/>
    </row>
    <row r="3077" spans="1:7" x14ac:dyDescent="0.2">
      <c r="A3077" s="281"/>
      <c r="B3077" s="281"/>
      <c r="C3077" s="281"/>
      <c r="D3077" s="281"/>
      <c r="E3077" s="282"/>
      <c r="F3077" s="281"/>
    </row>
    <row r="3078" spans="1:7" x14ac:dyDescent="0.2">
      <c r="A3078" s="281"/>
      <c r="B3078" s="283" t="s">
        <v>301</v>
      </c>
      <c r="C3078" s="284"/>
      <c r="D3078" s="281"/>
      <c r="E3078" s="282"/>
      <c r="F3078" s="281"/>
    </row>
    <row r="3079" spans="1:7" x14ac:dyDescent="0.2">
      <c r="A3079" s="281"/>
      <c r="B3079" s="281" t="s">
        <v>302</v>
      </c>
      <c r="C3079" s="801"/>
      <c r="D3079" s="801"/>
      <c r="E3079" s="801"/>
      <c r="F3079" s="801"/>
    </row>
    <row r="3080" spans="1:7" x14ac:dyDescent="0.2">
      <c r="A3080" s="281"/>
      <c r="B3080" s="281" t="s">
        <v>303</v>
      </c>
      <c r="C3080" s="801"/>
      <c r="D3080" s="801"/>
      <c r="E3080" s="801"/>
      <c r="F3080" s="801"/>
    </row>
    <row r="3081" spans="1:7" ht="72" customHeight="1" x14ac:dyDescent="0.2">
      <c r="A3081" s="804" t="s">
        <v>1289</v>
      </c>
      <c r="B3081" s="805"/>
      <c r="C3081" s="805"/>
      <c r="D3081" s="805"/>
      <c r="E3081" s="805"/>
      <c r="F3081" s="806"/>
      <c r="G3081" s="180" t="s">
        <v>1222</v>
      </c>
    </row>
    <row r="3082" spans="1:7" ht="30" customHeight="1" x14ac:dyDescent="0.2">
      <c r="A3082" s="792"/>
      <c r="B3082" s="260" t="s">
        <v>1290</v>
      </c>
      <c r="C3082" s="792"/>
      <c r="D3082" s="798">
        <v>1666666</v>
      </c>
      <c r="E3082" s="799"/>
      <c r="F3082" s="800"/>
      <c r="G3082" s="615">
        <f>D3082-D3083</f>
        <v>79365</v>
      </c>
    </row>
    <row r="3083" spans="1:7" x14ac:dyDescent="0.2">
      <c r="A3083" s="173">
        <v>1</v>
      </c>
      <c r="B3083" s="254" t="s">
        <v>1291</v>
      </c>
      <c r="C3083" s="175"/>
      <c r="D3083" s="798">
        <v>1587301</v>
      </c>
      <c r="E3083" s="799"/>
      <c r="F3083" s="800"/>
    </row>
    <row r="3084" spans="1:7" x14ac:dyDescent="0.2">
      <c r="A3084" s="173">
        <v>2</v>
      </c>
      <c r="B3084" s="260" t="s">
        <v>1281</v>
      </c>
      <c r="C3084" s="791"/>
      <c r="D3084" s="259">
        <v>0</v>
      </c>
      <c r="E3084" s="177"/>
      <c r="F3084" s="178"/>
    </row>
    <row r="3085" spans="1:7" x14ac:dyDescent="0.2">
      <c r="A3085" s="173">
        <v>3</v>
      </c>
      <c r="B3085" s="260" t="s">
        <v>353</v>
      </c>
      <c r="C3085" s="791"/>
      <c r="D3085" s="261">
        <v>0</v>
      </c>
      <c r="E3085" s="177"/>
      <c r="F3085" s="178"/>
    </row>
    <row r="3086" spans="1:7" x14ac:dyDescent="0.2">
      <c r="A3086" s="173">
        <v>4</v>
      </c>
      <c r="B3086" s="260" t="s">
        <v>681</v>
      </c>
      <c r="C3086" s="791"/>
      <c r="D3086" s="261">
        <v>0</v>
      </c>
      <c r="E3086" s="177"/>
      <c r="F3086" s="178"/>
    </row>
    <row r="3087" spans="1:7" x14ac:dyDescent="0.2">
      <c r="A3087" s="173">
        <v>5</v>
      </c>
      <c r="B3087" s="260" t="s">
        <v>532</v>
      </c>
      <c r="C3087" s="791"/>
      <c r="D3087" s="261">
        <v>0</v>
      </c>
      <c r="E3087" s="177"/>
      <c r="F3087" s="178"/>
    </row>
    <row r="3088" spans="1:7" ht="29.25" x14ac:dyDescent="0.2">
      <c r="A3088" s="173">
        <v>6</v>
      </c>
      <c r="B3088" s="257" t="s">
        <v>1282</v>
      </c>
      <c r="C3088" s="258">
        <v>0.6</v>
      </c>
      <c r="D3088" s="259">
        <f>D3083*C3088</f>
        <v>952380.6</v>
      </c>
      <c r="E3088" s="177"/>
      <c r="F3088" s="178"/>
    </row>
    <row r="3089" spans="1:7" x14ac:dyDescent="0.2">
      <c r="A3089" s="173">
        <v>7</v>
      </c>
      <c r="B3089" s="260" t="s">
        <v>355</v>
      </c>
      <c r="C3089" s="258">
        <v>0.05</v>
      </c>
      <c r="D3089" s="261">
        <f>C3089*D3088</f>
        <v>47619.03</v>
      </c>
      <c r="E3089" s="177"/>
      <c r="F3089" s="178" t="s">
        <v>1292</v>
      </c>
    </row>
    <row r="3090" spans="1:7" x14ac:dyDescent="0.2">
      <c r="A3090" s="173">
        <v>8</v>
      </c>
      <c r="B3090" s="260" t="s">
        <v>356</v>
      </c>
      <c r="C3090" s="258">
        <v>0.02</v>
      </c>
      <c r="D3090" s="261">
        <f>D3088*C3090</f>
        <v>19047.612000000001</v>
      </c>
      <c r="E3090" s="178"/>
      <c r="F3090" s="178" t="s">
        <v>1293</v>
      </c>
    </row>
    <row r="3091" spans="1:7" x14ac:dyDescent="0.2">
      <c r="A3091" s="173">
        <v>9</v>
      </c>
      <c r="B3091" s="260" t="s">
        <v>1294</v>
      </c>
      <c r="C3091" s="258">
        <v>0.08</v>
      </c>
      <c r="D3091" s="261">
        <f>D3088*C3091</f>
        <v>76190.448000000004</v>
      </c>
      <c r="E3091" s="177"/>
      <c r="F3091" s="178" t="s">
        <v>1295</v>
      </c>
    </row>
    <row r="3092" spans="1:7" x14ac:dyDescent="0.2">
      <c r="A3092" s="173">
        <v>10</v>
      </c>
      <c r="B3092" s="260" t="s">
        <v>401</v>
      </c>
      <c r="C3092" s="258">
        <v>0.06</v>
      </c>
      <c r="D3092" s="261">
        <f>C3092*D3088</f>
        <v>57142.835999999996</v>
      </c>
      <c r="E3092" s="177"/>
      <c r="F3092" s="178" t="s">
        <v>1296</v>
      </c>
    </row>
    <row r="3093" spans="1:7" x14ac:dyDescent="0.2">
      <c r="A3093" s="173">
        <v>11</v>
      </c>
      <c r="B3093" s="254" t="s">
        <v>281</v>
      </c>
      <c r="C3093" s="263">
        <v>0.02</v>
      </c>
      <c r="D3093" s="256">
        <f>C3093*D3088</f>
        <v>19047.612000000001</v>
      </c>
      <c r="E3093" s="177"/>
      <c r="F3093" s="178" t="s">
        <v>1297</v>
      </c>
    </row>
    <row r="3094" spans="1:7" ht="30" x14ac:dyDescent="0.2">
      <c r="A3094" s="173">
        <v>12</v>
      </c>
      <c r="B3094" s="254" t="s">
        <v>100</v>
      </c>
      <c r="C3094" s="263">
        <v>0</v>
      </c>
      <c r="D3094" s="256">
        <f>C3094*D3088</f>
        <v>0</v>
      </c>
      <c r="E3094" s="187"/>
      <c r="F3094" s="178" t="s">
        <v>1298</v>
      </c>
    </row>
    <row r="3095" spans="1:7" ht="30" x14ac:dyDescent="0.2">
      <c r="A3095" s="173"/>
      <c r="B3095" s="254" t="s">
        <v>1299</v>
      </c>
      <c r="C3095" s="263"/>
      <c r="D3095" s="256">
        <v>166666</v>
      </c>
      <c r="E3095" s="187"/>
      <c r="F3095" s="178" t="s">
        <v>1300</v>
      </c>
    </row>
    <row r="3096" spans="1:7" x14ac:dyDescent="0.2">
      <c r="A3096" s="173"/>
      <c r="B3096" s="264" t="s">
        <v>374</v>
      </c>
      <c r="C3096" s="265">
        <f>SUM(C3089:C3094)</f>
        <v>0.23</v>
      </c>
      <c r="D3096" s="266">
        <f>SUM(D3089:D3095)</f>
        <v>385713.53799999994</v>
      </c>
      <c r="E3096" s="187"/>
      <c r="F3096" s="178"/>
    </row>
    <row r="3097" spans="1:7" x14ac:dyDescent="0.2">
      <c r="A3097" s="173"/>
      <c r="B3097" s="264" t="s">
        <v>132</v>
      </c>
      <c r="C3097" s="265">
        <v>0.1</v>
      </c>
      <c r="D3097" s="256">
        <f>C3097*D3088</f>
        <v>95238.06</v>
      </c>
      <c r="E3097" s="187"/>
      <c r="F3097" s="178" t="s">
        <v>1298</v>
      </c>
    </row>
    <row r="3098" spans="1:7" ht="28.5" x14ac:dyDescent="0.2">
      <c r="A3098" s="267"/>
      <c r="B3098" s="264" t="s">
        <v>1288</v>
      </c>
      <c r="C3098" s="265">
        <f>D3098/D3083</f>
        <v>0.69700038115014107</v>
      </c>
      <c r="D3098" s="256">
        <f>D3083-D3096-D3097-D3084</f>
        <v>1106349.402</v>
      </c>
      <c r="E3098" s="177"/>
      <c r="F3098" s="178"/>
    </row>
    <row r="3099" spans="1:7" ht="28.5" x14ac:dyDescent="0.2">
      <c r="A3099" s="267"/>
      <c r="B3099" s="264" t="s">
        <v>375</v>
      </c>
      <c r="C3099" s="268">
        <f>D3099/D3083</f>
        <v>0.75700038115014101</v>
      </c>
      <c r="D3099" s="269">
        <f>D3098+D3097</f>
        <v>1201587.4620000001</v>
      </c>
      <c r="E3099" s="177"/>
      <c r="F3099" s="178"/>
    </row>
    <row r="3100" spans="1:7" x14ac:dyDescent="0.2">
      <c r="A3100" s="281"/>
      <c r="B3100" s="281"/>
      <c r="C3100" s="281"/>
      <c r="D3100" s="281"/>
      <c r="E3100" s="282"/>
      <c r="F3100" s="281"/>
    </row>
    <row r="3101" spans="1:7" x14ac:dyDescent="0.2">
      <c r="A3101" s="281"/>
      <c r="B3101" s="283" t="s">
        <v>301</v>
      </c>
      <c r="C3101" s="284"/>
      <c r="D3101" s="281"/>
      <c r="E3101" s="282"/>
      <c r="F3101" s="281"/>
    </row>
    <row r="3102" spans="1:7" x14ac:dyDescent="0.2">
      <c r="A3102" s="281"/>
      <c r="B3102" s="281" t="s">
        <v>302</v>
      </c>
      <c r="C3102" s="892"/>
      <c r="D3102" s="893"/>
      <c r="E3102" s="893"/>
      <c r="F3102" s="894"/>
    </row>
    <row r="3103" spans="1:7" x14ac:dyDescent="0.2">
      <c r="A3103" s="281"/>
      <c r="B3103" s="281" t="s">
        <v>303</v>
      </c>
      <c r="C3103" s="892"/>
      <c r="D3103" s="893"/>
      <c r="E3103" s="893"/>
      <c r="F3103" s="894"/>
    </row>
    <row r="3104" spans="1:7" ht="41.25" customHeight="1" x14ac:dyDescent="0.2">
      <c r="A3104" s="804" t="s">
        <v>1301</v>
      </c>
      <c r="B3104" s="805"/>
      <c r="C3104" s="805"/>
      <c r="D3104" s="805"/>
      <c r="E3104" s="805"/>
      <c r="F3104" s="806"/>
      <c r="G3104" s="180" t="s">
        <v>1222</v>
      </c>
    </row>
    <row r="3105" spans="1:7" ht="23.25" customHeight="1" x14ac:dyDescent="0.2">
      <c r="A3105" s="792"/>
      <c r="B3105" s="260" t="s">
        <v>1290</v>
      </c>
      <c r="C3105" s="792"/>
      <c r="D3105" s="798">
        <v>550000</v>
      </c>
      <c r="E3105" s="799"/>
      <c r="F3105" s="800"/>
      <c r="G3105" s="615">
        <f>D3105-D3106</f>
        <v>26190</v>
      </c>
    </row>
    <row r="3106" spans="1:7" x14ac:dyDescent="0.2">
      <c r="A3106" s="173">
        <v>1</v>
      </c>
      <c r="B3106" s="254" t="s">
        <v>1291</v>
      </c>
      <c r="C3106" s="175"/>
      <c r="D3106" s="798">
        <v>523810</v>
      </c>
      <c r="E3106" s="799"/>
      <c r="F3106" s="800"/>
    </row>
    <row r="3107" spans="1:7" x14ac:dyDescent="0.2">
      <c r="A3107" s="173">
        <v>2</v>
      </c>
      <c r="B3107" s="260" t="s">
        <v>1281</v>
      </c>
      <c r="C3107" s="791"/>
      <c r="D3107" s="259">
        <v>0</v>
      </c>
      <c r="E3107" s="177"/>
      <c r="F3107" s="178"/>
    </row>
    <row r="3108" spans="1:7" x14ac:dyDescent="0.2">
      <c r="A3108" s="173">
        <v>3</v>
      </c>
      <c r="B3108" s="260" t="s">
        <v>353</v>
      </c>
      <c r="C3108" s="791"/>
      <c r="D3108" s="261">
        <v>0</v>
      </c>
      <c r="E3108" s="177"/>
      <c r="F3108" s="178"/>
    </row>
    <row r="3109" spans="1:7" x14ac:dyDescent="0.2">
      <c r="A3109" s="173">
        <v>4</v>
      </c>
      <c r="B3109" s="260" t="s">
        <v>681</v>
      </c>
      <c r="C3109" s="791"/>
      <c r="D3109" s="261">
        <v>0</v>
      </c>
      <c r="E3109" s="177"/>
      <c r="F3109" s="178"/>
    </row>
    <row r="3110" spans="1:7" x14ac:dyDescent="0.2">
      <c r="A3110" s="173">
        <v>5</v>
      </c>
      <c r="B3110" s="260" t="s">
        <v>532</v>
      </c>
      <c r="C3110" s="791"/>
      <c r="D3110" s="261">
        <v>0</v>
      </c>
      <c r="E3110" s="177"/>
      <c r="F3110" s="178"/>
    </row>
    <row r="3111" spans="1:7" ht="31.5" x14ac:dyDescent="0.2">
      <c r="A3111" s="173">
        <v>6</v>
      </c>
      <c r="B3111" s="257" t="s">
        <v>1282</v>
      </c>
      <c r="C3111" s="258">
        <v>0.8</v>
      </c>
      <c r="D3111" s="259">
        <f>D3106*C3111</f>
        <v>419048</v>
      </c>
      <c r="E3111" s="177"/>
      <c r="F3111" s="178" t="s">
        <v>1302</v>
      </c>
    </row>
    <row r="3112" spans="1:7" x14ac:dyDescent="0.2">
      <c r="A3112" s="173">
        <v>7</v>
      </c>
      <c r="B3112" s="260" t="s">
        <v>355</v>
      </c>
      <c r="C3112" s="258">
        <v>0.1</v>
      </c>
      <c r="D3112" s="261">
        <f>C3112*D3111</f>
        <v>41904.800000000003</v>
      </c>
      <c r="E3112" s="177"/>
      <c r="F3112" s="178" t="s">
        <v>1292</v>
      </c>
    </row>
    <row r="3113" spans="1:7" ht="31.5" x14ac:dyDescent="0.2">
      <c r="A3113" s="173">
        <v>8</v>
      </c>
      <c r="B3113" s="260" t="s">
        <v>356</v>
      </c>
      <c r="C3113" s="258">
        <v>0.02</v>
      </c>
      <c r="D3113" s="261">
        <f>D3111*C3113</f>
        <v>8380.9600000000009</v>
      </c>
      <c r="E3113" s="178"/>
      <c r="F3113" s="178" t="s">
        <v>1303</v>
      </c>
    </row>
    <row r="3114" spans="1:7" x14ac:dyDescent="0.2">
      <c r="A3114" s="173">
        <v>9</v>
      </c>
      <c r="B3114" s="260" t="s">
        <v>631</v>
      </c>
      <c r="C3114" s="258">
        <v>0.15</v>
      </c>
      <c r="D3114" s="261">
        <f>D3111*C3114</f>
        <v>62857.2</v>
      </c>
      <c r="E3114" s="177"/>
      <c r="F3114" s="178" t="s">
        <v>1304</v>
      </c>
    </row>
    <row r="3115" spans="1:7" x14ac:dyDescent="0.2">
      <c r="A3115" s="173">
        <v>10</v>
      </c>
      <c r="B3115" s="260" t="s">
        <v>401</v>
      </c>
      <c r="C3115" s="258">
        <v>0.15</v>
      </c>
      <c r="D3115" s="261">
        <f>C3115*D3111</f>
        <v>62857.2</v>
      </c>
      <c r="E3115" s="177"/>
      <c r="F3115" s="178"/>
    </row>
    <row r="3116" spans="1:7" x14ac:dyDescent="0.2">
      <c r="A3116" s="173">
        <v>11</v>
      </c>
      <c r="B3116" s="254" t="s">
        <v>281</v>
      </c>
      <c r="C3116" s="263">
        <v>0.05</v>
      </c>
      <c r="D3116" s="256">
        <f>C3116*D3111</f>
        <v>20952.400000000001</v>
      </c>
      <c r="E3116" s="177"/>
      <c r="F3116" s="178" t="s">
        <v>1297</v>
      </c>
    </row>
    <row r="3117" spans="1:7" ht="30" x14ac:dyDescent="0.2">
      <c r="A3117" s="173">
        <v>12</v>
      </c>
      <c r="B3117" s="254" t="s">
        <v>100</v>
      </c>
      <c r="C3117" s="263">
        <v>0.05</v>
      </c>
      <c r="D3117" s="256">
        <f>C3117*D3111</f>
        <v>20952.400000000001</v>
      </c>
      <c r="E3117" s="187"/>
      <c r="F3117" s="178"/>
    </row>
    <row r="3118" spans="1:7" x14ac:dyDescent="0.2">
      <c r="A3118" s="173"/>
      <c r="B3118" s="254" t="s">
        <v>1305</v>
      </c>
      <c r="C3118" s="263">
        <v>0.4</v>
      </c>
      <c r="D3118" s="256">
        <f>C3118*D3111</f>
        <v>167619.20000000001</v>
      </c>
      <c r="E3118" s="187"/>
      <c r="F3118" s="178" t="s">
        <v>1306</v>
      </c>
    </row>
    <row r="3119" spans="1:7" x14ac:dyDescent="0.2">
      <c r="A3119" s="173"/>
      <c r="B3119" s="264" t="s">
        <v>374</v>
      </c>
      <c r="C3119" s="265">
        <f>SUM(C3112:C3118)</f>
        <v>0.92</v>
      </c>
      <c r="D3119" s="266">
        <f>SUM(D3112:D3118)</f>
        <v>385524.16</v>
      </c>
      <c r="E3119" s="187"/>
      <c r="F3119" s="178"/>
    </row>
    <row r="3120" spans="1:7" ht="31.5" x14ac:dyDescent="0.2">
      <c r="A3120" s="173"/>
      <c r="B3120" s="264" t="s">
        <v>132</v>
      </c>
      <c r="C3120" s="265">
        <v>0.08</v>
      </c>
      <c r="D3120" s="256">
        <f>C3120*D3111</f>
        <v>33523.840000000004</v>
      </c>
      <c r="E3120" s="187"/>
      <c r="F3120" s="178" t="s">
        <v>1307</v>
      </c>
    </row>
    <row r="3121" spans="1:7" ht="28.5" x14ac:dyDescent="0.2">
      <c r="A3121" s="267"/>
      <c r="B3121" s="264" t="s">
        <v>1288</v>
      </c>
      <c r="C3121" s="265">
        <f>D3121/D3106</f>
        <v>0.20000000000000007</v>
      </c>
      <c r="D3121" s="256">
        <f>D3106-D3119-D3120-D3107</f>
        <v>104762.00000000003</v>
      </c>
      <c r="E3121" s="177"/>
      <c r="F3121" s="178"/>
    </row>
    <row r="3122" spans="1:7" ht="28.5" x14ac:dyDescent="0.2">
      <c r="A3122" s="267"/>
      <c r="B3122" s="264" t="s">
        <v>375</v>
      </c>
      <c r="C3122" s="268">
        <f>D3122/D3106</f>
        <v>0.26400000000000007</v>
      </c>
      <c r="D3122" s="269">
        <f>D3121+D3120</f>
        <v>138285.84000000003</v>
      </c>
      <c r="E3122" s="177"/>
      <c r="F3122" s="178"/>
    </row>
    <row r="3123" spans="1:7" x14ac:dyDescent="0.2">
      <c r="A3123" s="281"/>
      <c r="B3123" s="281"/>
      <c r="C3123" s="281"/>
      <c r="D3123" s="281"/>
      <c r="E3123" s="282"/>
      <c r="F3123" s="281"/>
    </row>
    <row r="3124" spans="1:7" x14ac:dyDescent="0.2">
      <c r="A3124" s="281"/>
      <c r="B3124" s="283" t="s">
        <v>301</v>
      </c>
      <c r="C3124" s="284"/>
      <c r="D3124" s="281"/>
      <c r="E3124" s="282"/>
      <c r="F3124" s="281"/>
    </row>
    <row r="3125" spans="1:7" x14ac:dyDescent="0.2">
      <c r="A3125" s="281"/>
      <c r="B3125" s="281" t="s">
        <v>302</v>
      </c>
      <c r="C3125" s="892" t="s">
        <v>1308</v>
      </c>
      <c r="D3125" s="893"/>
      <c r="E3125" s="893"/>
      <c r="F3125" s="894"/>
    </row>
    <row r="3126" spans="1:7" x14ac:dyDescent="0.2">
      <c r="A3126" s="281"/>
      <c r="B3126" s="281" t="s">
        <v>303</v>
      </c>
      <c r="C3126" s="892"/>
      <c r="D3126" s="893"/>
      <c r="E3126" s="893"/>
      <c r="F3126" s="894"/>
    </row>
    <row r="3127" spans="1:7" ht="78.75" customHeight="1" x14ac:dyDescent="0.2">
      <c r="A3127" s="804" t="s">
        <v>1309</v>
      </c>
      <c r="B3127" s="805"/>
      <c r="C3127" s="805"/>
      <c r="D3127" s="805"/>
      <c r="E3127" s="805"/>
      <c r="F3127" s="806"/>
    </row>
    <row r="3128" spans="1:7" ht="20.25" x14ac:dyDescent="0.2">
      <c r="A3128" s="792"/>
      <c r="B3128" s="260" t="s">
        <v>1290</v>
      </c>
      <c r="C3128" s="792"/>
      <c r="D3128" s="798">
        <v>4097373</v>
      </c>
      <c r="E3128" s="799"/>
      <c r="F3128" s="800"/>
    </row>
    <row r="3129" spans="1:7" x14ac:dyDescent="0.2">
      <c r="A3129" s="173">
        <v>1</v>
      </c>
      <c r="B3129" s="254" t="s">
        <v>1291</v>
      </c>
      <c r="C3129" s="175"/>
      <c r="D3129" s="798">
        <f>D3128*0.95</f>
        <v>3892504.3499999996</v>
      </c>
      <c r="E3129" s="799"/>
      <c r="F3129" s="800"/>
      <c r="G3129" s="615"/>
    </row>
    <row r="3130" spans="1:7" x14ac:dyDescent="0.2">
      <c r="A3130" s="173">
        <v>2</v>
      </c>
      <c r="B3130" s="260" t="s">
        <v>532</v>
      </c>
      <c r="C3130" s="791"/>
      <c r="D3130" s="261">
        <v>300000</v>
      </c>
      <c r="E3130" s="177"/>
      <c r="F3130" s="178"/>
    </row>
    <row r="3131" spans="1:7" ht="29.25" x14ac:dyDescent="0.2">
      <c r="A3131" s="173">
        <v>3</v>
      </c>
      <c r="B3131" s="257" t="s">
        <v>1282</v>
      </c>
      <c r="C3131" s="258">
        <v>0.8</v>
      </c>
      <c r="D3131" s="259">
        <f>D3129*C3131</f>
        <v>3114003.48</v>
      </c>
      <c r="E3131" s="177"/>
      <c r="F3131" s="178"/>
    </row>
    <row r="3132" spans="1:7" x14ac:dyDescent="0.2">
      <c r="A3132" s="173">
        <v>4</v>
      </c>
      <c r="B3132" s="260" t="s">
        <v>355</v>
      </c>
      <c r="C3132" s="258">
        <v>0.04</v>
      </c>
      <c r="D3132" s="261">
        <f>C3132*D3131</f>
        <v>124560.13920000001</v>
      </c>
      <c r="E3132" s="177"/>
      <c r="F3132" s="178"/>
    </row>
    <row r="3133" spans="1:7" x14ac:dyDescent="0.2">
      <c r="A3133" s="173">
        <v>5</v>
      </c>
      <c r="B3133" s="260" t="s">
        <v>356</v>
      </c>
      <c r="C3133" s="258">
        <v>0.05</v>
      </c>
      <c r="D3133" s="261">
        <f>D3131*C3133</f>
        <v>155700.174</v>
      </c>
      <c r="E3133" s="178"/>
      <c r="F3133" s="178"/>
    </row>
    <row r="3134" spans="1:7" x14ac:dyDescent="0.2">
      <c r="A3134" s="173">
        <v>6</v>
      </c>
      <c r="B3134" s="794" t="s">
        <v>357</v>
      </c>
      <c r="C3134" s="258">
        <v>7.0000000000000007E-2</v>
      </c>
      <c r="D3134" s="261">
        <f>D3131*C3134</f>
        <v>217980.24360000002</v>
      </c>
      <c r="E3134" s="177"/>
      <c r="F3134" s="178"/>
    </row>
    <row r="3135" spans="1:7" x14ac:dyDescent="0.2">
      <c r="A3135" s="173">
        <v>7</v>
      </c>
      <c r="B3135" s="260" t="s">
        <v>597</v>
      </c>
      <c r="C3135" s="258">
        <v>0.05</v>
      </c>
      <c r="D3135" s="795">
        <f>C3135*D3131</f>
        <v>155700.174</v>
      </c>
      <c r="E3135" s="177"/>
      <c r="F3135" s="178"/>
    </row>
    <row r="3136" spans="1:7" x14ac:dyDescent="0.2">
      <c r="A3136" s="173">
        <v>8</v>
      </c>
      <c r="B3136" s="260" t="s">
        <v>1310</v>
      </c>
      <c r="C3136" s="258">
        <v>0.12</v>
      </c>
      <c r="D3136" s="795">
        <f>C3136*D3131</f>
        <v>373680.41759999999</v>
      </c>
      <c r="E3136" s="177"/>
      <c r="F3136" s="178"/>
    </row>
    <row r="3137" spans="1:6" x14ac:dyDescent="0.2">
      <c r="A3137" s="173">
        <v>9</v>
      </c>
      <c r="B3137" s="794" t="s">
        <v>1314</v>
      </c>
      <c r="C3137" s="258">
        <v>0.05</v>
      </c>
      <c r="D3137" s="795">
        <f>C3137*D3131</f>
        <v>155700.174</v>
      </c>
      <c r="E3137" s="177"/>
      <c r="F3137" s="178"/>
    </row>
    <row r="3138" spans="1:6" x14ac:dyDescent="0.2">
      <c r="A3138" s="173">
        <v>10</v>
      </c>
      <c r="B3138" s="794" t="s">
        <v>1311</v>
      </c>
      <c r="C3138" s="258">
        <v>0.06</v>
      </c>
      <c r="D3138" s="795">
        <f>C3138*D3131</f>
        <v>186840.20879999999</v>
      </c>
      <c r="E3138" s="177"/>
      <c r="F3138" s="178"/>
    </row>
    <row r="3139" spans="1:6" x14ac:dyDescent="0.2">
      <c r="A3139" s="173">
        <v>11</v>
      </c>
      <c r="B3139" s="794" t="s">
        <v>1312</v>
      </c>
      <c r="C3139" s="258">
        <v>0.06</v>
      </c>
      <c r="D3139" s="795">
        <f>C3139*D3131</f>
        <v>186840.20879999999</v>
      </c>
      <c r="E3139" s="177"/>
      <c r="F3139" s="178"/>
    </row>
    <row r="3140" spans="1:6" ht="30" x14ac:dyDescent="0.2">
      <c r="A3140" s="173">
        <v>12</v>
      </c>
      <c r="B3140" s="794" t="s">
        <v>1313</v>
      </c>
      <c r="C3140" s="258">
        <v>0.12</v>
      </c>
      <c r="D3140" s="795">
        <f>C3140*D3131</f>
        <v>373680.41759999999</v>
      </c>
      <c r="E3140" s="177"/>
      <c r="F3140" s="178"/>
    </row>
    <row r="3141" spans="1:6" x14ac:dyDescent="0.2">
      <c r="A3141" s="173">
        <v>13</v>
      </c>
      <c r="B3141" s="794" t="s">
        <v>725</v>
      </c>
      <c r="C3141" s="258">
        <v>0.06</v>
      </c>
      <c r="D3141" s="795">
        <f>C3141*D3131</f>
        <v>186840.20879999999</v>
      </c>
      <c r="E3141" s="177"/>
      <c r="F3141" s="178"/>
    </row>
    <row r="3142" spans="1:6" x14ac:dyDescent="0.2">
      <c r="A3142" s="173">
        <v>14</v>
      </c>
      <c r="B3142" s="794" t="s">
        <v>260</v>
      </c>
      <c r="C3142" s="258">
        <v>0.05</v>
      </c>
      <c r="D3142" s="795">
        <f>C3142*D3131</f>
        <v>155700.174</v>
      </c>
      <c r="E3142" s="177"/>
      <c r="F3142" s="178"/>
    </row>
    <row r="3143" spans="1:6" x14ac:dyDescent="0.2">
      <c r="A3143" s="173">
        <v>15</v>
      </c>
      <c r="B3143" s="794" t="s">
        <v>272</v>
      </c>
      <c r="C3143" s="258">
        <v>0.04</v>
      </c>
      <c r="D3143" s="795">
        <f>C3143*D3131</f>
        <v>124560.13920000001</v>
      </c>
      <c r="E3143" s="177"/>
      <c r="F3143" s="178"/>
    </row>
    <row r="3144" spans="1:6" x14ac:dyDescent="0.2">
      <c r="A3144" s="173">
        <v>16</v>
      </c>
      <c r="B3144" s="794" t="s">
        <v>261</v>
      </c>
      <c r="C3144" s="258">
        <v>0.04</v>
      </c>
      <c r="D3144" s="795">
        <f>C3144*D3131</f>
        <v>124560.13920000001</v>
      </c>
      <c r="E3144" s="177"/>
      <c r="F3144" s="178"/>
    </row>
    <row r="3145" spans="1:6" x14ac:dyDescent="0.2">
      <c r="A3145" s="173">
        <v>17</v>
      </c>
      <c r="B3145" s="794" t="s">
        <v>341</v>
      </c>
      <c r="C3145" s="258">
        <v>0.08</v>
      </c>
      <c r="D3145" s="795">
        <f>C3145*D3131</f>
        <v>249120.27840000001</v>
      </c>
      <c r="E3145" s="177"/>
      <c r="F3145" s="178"/>
    </row>
    <row r="3146" spans="1:6" ht="45" x14ac:dyDescent="0.2">
      <c r="A3146" s="173">
        <v>18</v>
      </c>
      <c r="B3146" s="796" t="s">
        <v>1083</v>
      </c>
      <c r="C3146" s="263">
        <v>0.1</v>
      </c>
      <c r="D3146" s="797">
        <f>C3146*D3131</f>
        <v>311400.348</v>
      </c>
      <c r="E3146" s="187"/>
      <c r="F3146" s="178"/>
    </row>
    <row r="3147" spans="1:6" x14ac:dyDescent="0.2">
      <c r="A3147" s="173"/>
      <c r="B3147" s="264" t="s">
        <v>374</v>
      </c>
      <c r="C3147" s="265">
        <f>SUM(C3132:C3146)</f>
        <v>0.99</v>
      </c>
      <c r="D3147" s="266">
        <f>SUM(D3132:D3146)</f>
        <v>3082863.4452</v>
      </c>
      <c r="E3147" s="187"/>
      <c r="F3147" s="178"/>
    </row>
    <row r="3148" spans="1:6" x14ac:dyDescent="0.2">
      <c r="A3148" s="173"/>
      <c r="B3148" s="264" t="s">
        <v>132</v>
      </c>
      <c r="C3148" s="265">
        <v>0.08</v>
      </c>
      <c r="D3148" s="256">
        <f>C3148*D3131</f>
        <v>249120.27840000001</v>
      </c>
      <c r="E3148" s="187"/>
      <c r="F3148" s="178"/>
    </row>
    <row r="3149" spans="1:6" ht="28.5" x14ac:dyDescent="0.2">
      <c r="A3149" s="267"/>
      <c r="B3149" s="264" t="s">
        <v>1288</v>
      </c>
      <c r="C3149" s="265">
        <f>D3149/D3129</f>
        <v>6.692879518554673E-2</v>
      </c>
      <c r="D3149" s="256">
        <f>D3129-D3130-D3147-D3148</f>
        <v>260520.62639999966</v>
      </c>
      <c r="E3149" s="177"/>
      <c r="F3149" s="178"/>
    </row>
    <row r="3150" spans="1:6" ht="28.5" x14ac:dyDescent="0.2">
      <c r="A3150" s="267"/>
      <c r="B3150" s="264" t="s">
        <v>375</v>
      </c>
      <c r="C3150" s="268">
        <f>D3150/D3129</f>
        <v>0.13092879518554673</v>
      </c>
      <c r="D3150" s="269">
        <f>D3149+D3148</f>
        <v>509640.90479999967</v>
      </c>
      <c r="E3150" s="177"/>
      <c r="F3150" s="178"/>
    </row>
    <row r="3151" spans="1:6" x14ac:dyDescent="0.2">
      <c r="A3151" s="281"/>
      <c r="B3151" s="283" t="s">
        <v>301</v>
      </c>
      <c r="C3151" s="284"/>
      <c r="D3151" s="281"/>
      <c r="E3151" s="282"/>
      <c r="F3151" s="281"/>
    </row>
    <row r="3152" spans="1:6" x14ac:dyDescent="0.2">
      <c r="A3152" s="281"/>
      <c r="B3152" s="281" t="s">
        <v>302</v>
      </c>
      <c r="C3152" s="892"/>
      <c r="D3152" s="893"/>
      <c r="E3152" s="893"/>
      <c r="F3152" s="894"/>
    </row>
    <row r="3153" spans="1:6" x14ac:dyDescent="0.2">
      <c r="A3153" s="281"/>
      <c r="B3153" s="281" t="s">
        <v>303</v>
      </c>
      <c r="C3153" s="892"/>
      <c r="D3153" s="893"/>
      <c r="E3153" s="893"/>
      <c r="F3153" s="894"/>
    </row>
    <row r="3154" spans="1:6" ht="70.5" customHeight="1" x14ac:dyDescent="0.2">
      <c r="A3154" s="804" t="s">
        <v>1315</v>
      </c>
      <c r="B3154" s="805"/>
      <c r="C3154" s="805"/>
      <c r="D3154" s="805"/>
      <c r="E3154" s="805"/>
      <c r="F3154" s="806"/>
    </row>
    <row r="3155" spans="1:6" ht="20.25" x14ac:dyDescent="0.2">
      <c r="A3155" s="792"/>
      <c r="B3155" s="260" t="s">
        <v>1290</v>
      </c>
      <c r="C3155" s="792"/>
      <c r="D3155" s="798">
        <v>5975894</v>
      </c>
      <c r="E3155" s="799"/>
      <c r="F3155" s="800"/>
    </row>
    <row r="3156" spans="1:6" x14ac:dyDescent="0.2">
      <c r="A3156" s="173">
        <v>1</v>
      </c>
      <c r="B3156" s="254" t="s">
        <v>1291</v>
      </c>
      <c r="C3156" s="175"/>
      <c r="D3156" s="798">
        <f>D3155*0.95</f>
        <v>5677099.2999999998</v>
      </c>
      <c r="E3156" s="799"/>
      <c r="F3156" s="800"/>
    </row>
    <row r="3157" spans="1:6" x14ac:dyDescent="0.2">
      <c r="A3157" s="173">
        <v>2</v>
      </c>
      <c r="B3157" s="260" t="s">
        <v>532</v>
      </c>
      <c r="C3157" s="791"/>
      <c r="D3157" s="261">
        <v>300000</v>
      </c>
      <c r="E3157" s="177"/>
      <c r="F3157" s="178"/>
    </row>
    <row r="3158" spans="1:6" ht="29.25" x14ac:dyDescent="0.2">
      <c r="A3158" s="173">
        <v>3</v>
      </c>
      <c r="B3158" s="257" t="s">
        <v>1282</v>
      </c>
      <c r="C3158" s="258">
        <v>0.8</v>
      </c>
      <c r="D3158" s="259">
        <f>D3156*C3158</f>
        <v>4541679.4400000004</v>
      </c>
      <c r="E3158" s="177"/>
      <c r="F3158" s="178"/>
    </row>
    <row r="3159" spans="1:6" x14ac:dyDescent="0.2">
      <c r="A3159" s="173">
        <v>4</v>
      </c>
      <c r="B3159" s="260" t="s">
        <v>355</v>
      </c>
      <c r="C3159" s="258">
        <v>0.04</v>
      </c>
      <c r="D3159" s="261">
        <f>C3159*D3158</f>
        <v>181667.17760000002</v>
      </c>
      <c r="E3159" s="177"/>
      <c r="F3159" s="178"/>
    </row>
    <row r="3160" spans="1:6" x14ac:dyDescent="0.2">
      <c r="A3160" s="173">
        <v>5</v>
      </c>
      <c r="B3160" s="260" t="s">
        <v>356</v>
      </c>
      <c r="C3160" s="258">
        <v>0.05</v>
      </c>
      <c r="D3160" s="261">
        <f>D3158*C3160</f>
        <v>227083.97200000004</v>
      </c>
      <c r="E3160" s="178"/>
      <c r="F3160" s="178"/>
    </row>
    <row r="3161" spans="1:6" x14ac:dyDescent="0.2">
      <c r="A3161" s="173">
        <v>6</v>
      </c>
      <c r="B3161" s="794" t="s">
        <v>357</v>
      </c>
      <c r="C3161" s="258">
        <v>0.06</v>
      </c>
      <c r="D3161" s="261">
        <f>D3158*C3161</f>
        <v>272500.76640000002</v>
      </c>
      <c r="E3161" s="177"/>
      <c r="F3161" s="178"/>
    </row>
    <row r="3162" spans="1:6" x14ac:dyDescent="0.2">
      <c r="A3162" s="173">
        <v>7</v>
      </c>
      <c r="B3162" s="260" t="s">
        <v>597</v>
      </c>
      <c r="C3162" s="258">
        <v>0.05</v>
      </c>
      <c r="D3162" s="795">
        <f>C3162*D3158</f>
        <v>227083.97200000004</v>
      </c>
      <c r="E3162" s="177"/>
      <c r="F3162" s="178"/>
    </row>
    <row r="3163" spans="1:6" x14ac:dyDescent="0.2">
      <c r="A3163" s="173">
        <v>8</v>
      </c>
      <c r="B3163" s="260" t="s">
        <v>1310</v>
      </c>
      <c r="C3163" s="258">
        <v>0.12</v>
      </c>
      <c r="D3163" s="795">
        <f>C3163*D3158</f>
        <v>545001.53280000004</v>
      </c>
      <c r="E3163" s="177"/>
      <c r="F3163" s="178"/>
    </row>
    <row r="3164" spans="1:6" x14ac:dyDescent="0.2">
      <c r="A3164" s="173">
        <v>9</v>
      </c>
      <c r="B3164" s="794" t="s">
        <v>1316</v>
      </c>
      <c r="C3164" s="258">
        <v>0.06</v>
      </c>
      <c r="D3164" s="795">
        <f>C3164*D3158</f>
        <v>272500.76640000002</v>
      </c>
      <c r="E3164" s="177"/>
      <c r="F3164" s="178"/>
    </row>
    <row r="3165" spans="1:6" x14ac:dyDescent="0.2">
      <c r="A3165" s="173">
        <v>10</v>
      </c>
      <c r="B3165" s="794" t="s">
        <v>1318</v>
      </c>
      <c r="C3165" s="258">
        <v>0.05</v>
      </c>
      <c r="D3165" s="795">
        <f>C3165*D3158</f>
        <v>227083.97200000004</v>
      </c>
      <c r="E3165" s="177"/>
      <c r="F3165" s="178"/>
    </row>
    <row r="3166" spans="1:6" x14ac:dyDescent="0.2">
      <c r="A3166" s="173">
        <v>11</v>
      </c>
      <c r="B3166" s="794" t="s">
        <v>1319</v>
      </c>
      <c r="C3166" s="258">
        <v>5.5E-2</v>
      </c>
      <c r="D3166" s="795">
        <f>C3166*D3158</f>
        <v>249792.36920000002</v>
      </c>
      <c r="E3166" s="177"/>
      <c r="F3166" s="178"/>
    </row>
    <row r="3167" spans="1:6" ht="30" x14ac:dyDescent="0.2">
      <c r="A3167" s="173">
        <v>12</v>
      </c>
      <c r="B3167" s="794" t="s">
        <v>1317</v>
      </c>
      <c r="C3167" s="258">
        <v>0.1</v>
      </c>
      <c r="D3167" s="795">
        <f>C3167*D3158</f>
        <v>454167.94400000008</v>
      </c>
      <c r="E3167" s="177"/>
      <c r="F3167" s="178"/>
    </row>
    <row r="3168" spans="1:6" x14ac:dyDescent="0.2">
      <c r="A3168" s="173">
        <v>13</v>
      </c>
      <c r="B3168" s="794" t="s">
        <v>725</v>
      </c>
      <c r="C3168" s="258">
        <v>0.05</v>
      </c>
      <c r="D3168" s="795">
        <f>C3168*D3158</f>
        <v>227083.97200000004</v>
      </c>
      <c r="E3168" s="177"/>
      <c r="F3168" s="178"/>
    </row>
    <row r="3169" spans="1:6" x14ac:dyDescent="0.2">
      <c r="A3169" s="173">
        <v>14</v>
      </c>
      <c r="B3169" s="794" t="s">
        <v>260</v>
      </c>
      <c r="C3169" s="258">
        <v>0.04</v>
      </c>
      <c r="D3169" s="795">
        <f>C3169*D3158</f>
        <v>181667.17760000002</v>
      </c>
      <c r="E3169" s="177"/>
      <c r="F3169" s="178"/>
    </row>
    <row r="3170" spans="1:6" x14ac:dyDescent="0.2">
      <c r="A3170" s="173">
        <v>15</v>
      </c>
      <c r="B3170" s="794" t="s">
        <v>272</v>
      </c>
      <c r="C3170" s="258">
        <v>3.5000000000000003E-2</v>
      </c>
      <c r="D3170" s="795">
        <f>C3170*D3158</f>
        <v>158958.78040000002</v>
      </c>
      <c r="E3170" s="177"/>
      <c r="F3170" s="178"/>
    </row>
    <row r="3171" spans="1:6" x14ac:dyDescent="0.2">
      <c r="A3171" s="173">
        <v>16</v>
      </c>
      <c r="B3171" s="794" t="s">
        <v>261</v>
      </c>
      <c r="C3171" s="258">
        <v>3.5000000000000003E-2</v>
      </c>
      <c r="D3171" s="795">
        <f>C3171*D3158</f>
        <v>158958.78040000002</v>
      </c>
      <c r="E3171" s="177"/>
      <c r="F3171" s="178"/>
    </row>
    <row r="3172" spans="1:6" x14ac:dyDescent="0.2">
      <c r="A3172" s="173">
        <v>17</v>
      </c>
      <c r="B3172" s="794" t="s">
        <v>341</v>
      </c>
      <c r="C3172" s="258">
        <v>7.0000000000000007E-2</v>
      </c>
      <c r="D3172" s="795">
        <f>C3172*D3158</f>
        <v>317917.56080000004</v>
      </c>
      <c r="E3172" s="177"/>
      <c r="F3172" s="178"/>
    </row>
    <row r="3173" spans="1:6" ht="45" x14ac:dyDescent="0.2">
      <c r="A3173" s="173">
        <v>18</v>
      </c>
      <c r="B3173" s="796" t="s">
        <v>1083</v>
      </c>
      <c r="C3173" s="263">
        <v>0.1</v>
      </c>
      <c r="D3173" s="797">
        <f>C3173*D3158</f>
        <v>454167.94400000008</v>
      </c>
      <c r="E3173" s="187"/>
      <c r="F3173" s="178"/>
    </row>
    <row r="3174" spans="1:6" x14ac:dyDescent="0.2">
      <c r="A3174" s="173"/>
      <c r="B3174" s="264" t="s">
        <v>374</v>
      </c>
      <c r="C3174" s="265">
        <f>SUM(C3159:C3173)</f>
        <v>0.91500000000000015</v>
      </c>
      <c r="D3174" s="266">
        <f>SUM(D3159:D3173)</f>
        <v>4155636.6876000008</v>
      </c>
      <c r="E3174" s="187"/>
      <c r="F3174" s="178"/>
    </row>
    <row r="3175" spans="1:6" x14ac:dyDescent="0.2">
      <c r="A3175" s="173"/>
      <c r="B3175" s="264" t="s">
        <v>132</v>
      </c>
      <c r="C3175" s="265">
        <v>0.08</v>
      </c>
      <c r="D3175" s="256">
        <f>C3175*D3158</f>
        <v>363334.35520000005</v>
      </c>
      <c r="E3175" s="187"/>
      <c r="F3175" s="178"/>
    </row>
    <row r="3176" spans="1:6" ht="28.5" x14ac:dyDescent="0.2">
      <c r="A3176" s="267"/>
      <c r="B3176" s="264" t="s">
        <v>1288</v>
      </c>
      <c r="C3176" s="265">
        <f>D3176/D3156</f>
        <v>0.1511561119249753</v>
      </c>
      <c r="D3176" s="256">
        <f>D3156-D3157-D3174-D3175</f>
        <v>858128.25719999894</v>
      </c>
      <c r="E3176" s="177"/>
      <c r="F3176" s="178"/>
    </row>
    <row r="3177" spans="1:6" ht="28.5" x14ac:dyDescent="0.2">
      <c r="A3177" s="267"/>
      <c r="B3177" s="264" t="s">
        <v>375</v>
      </c>
      <c r="C3177" s="268">
        <f>D3177/D3156</f>
        <v>0.21515611192497533</v>
      </c>
      <c r="D3177" s="269">
        <f>D3176+D3175</f>
        <v>1221462.6123999991</v>
      </c>
      <c r="E3177" s="177"/>
      <c r="F3177" s="178"/>
    </row>
    <row r="3178" spans="1:6" x14ac:dyDescent="0.2">
      <c r="A3178" s="793"/>
      <c r="B3178" s="283" t="s">
        <v>301</v>
      </c>
      <c r="C3178" s="284"/>
      <c r="D3178" s="793"/>
      <c r="E3178" s="282"/>
      <c r="F3178" s="793"/>
    </row>
    <row r="3179" spans="1:6" x14ac:dyDescent="0.2">
      <c r="A3179" s="793"/>
      <c r="B3179" s="793" t="s">
        <v>302</v>
      </c>
      <c r="C3179" s="892"/>
      <c r="D3179" s="893"/>
      <c r="E3179" s="893"/>
      <c r="F3179" s="894"/>
    </row>
    <row r="3180" spans="1:6" x14ac:dyDescent="0.2">
      <c r="A3180" s="793"/>
      <c r="B3180" s="793" t="s">
        <v>303</v>
      </c>
      <c r="C3180" s="892"/>
      <c r="D3180" s="893"/>
      <c r="E3180" s="893"/>
      <c r="F3180" s="894"/>
    </row>
  </sheetData>
  <mergeCells count="644">
    <mergeCell ref="A3154:F3154"/>
    <mergeCell ref="D3155:F3155"/>
    <mergeCell ref="D3156:F3156"/>
    <mergeCell ref="C3179:F3179"/>
    <mergeCell ref="C3180:F3180"/>
    <mergeCell ref="A1:F1"/>
    <mergeCell ref="A2:F2"/>
    <mergeCell ref="D3:F3"/>
    <mergeCell ref="C18:F18"/>
    <mergeCell ref="C19:F19"/>
    <mergeCell ref="C20:F20"/>
    <mergeCell ref="C21:F21"/>
    <mergeCell ref="C22:F22"/>
    <mergeCell ref="A24:F24"/>
    <mergeCell ref="A25:F25"/>
    <mergeCell ref="D26:F26"/>
    <mergeCell ref="C51:F51"/>
    <mergeCell ref="C52:F52"/>
    <mergeCell ref="C53:F53"/>
    <mergeCell ref="C54:F54"/>
    <mergeCell ref="C55:F55"/>
    <mergeCell ref="A58:F58"/>
    <mergeCell ref="A59:F59"/>
    <mergeCell ref="D60:F60"/>
    <mergeCell ref="C83:F83"/>
    <mergeCell ref="C84:F84"/>
    <mergeCell ref="C85:F85"/>
    <mergeCell ref="C86:F86"/>
    <mergeCell ref="C87:F87"/>
    <mergeCell ref="A88:F88"/>
    <mergeCell ref="A89:F89"/>
    <mergeCell ref="D90:F90"/>
    <mergeCell ref="C117:F117"/>
    <mergeCell ref="C118:F118"/>
    <mergeCell ref="C119:F119"/>
    <mergeCell ref="C120:F120"/>
    <mergeCell ref="C121:F121"/>
    <mergeCell ref="A124:F124"/>
    <mergeCell ref="A125:F125"/>
    <mergeCell ref="D126:F126"/>
    <mergeCell ref="C152:F152"/>
    <mergeCell ref="C153:F153"/>
    <mergeCell ref="C154:F154"/>
    <mergeCell ref="C155:F155"/>
    <mergeCell ref="C156:F156"/>
    <mergeCell ref="A158:F158"/>
    <mergeCell ref="A159:F159"/>
    <mergeCell ref="D160:F160"/>
    <mergeCell ref="C186:F186"/>
    <mergeCell ref="C187:F187"/>
    <mergeCell ref="C188:F188"/>
    <mergeCell ref="C189:F189"/>
    <mergeCell ref="C190:F190"/>
    <mergeCell ref="A191:F191"/>
    <mergeCell ref="A192:F192"/>
    <mergeCell ref="D193:F193"/>
    <mergeCell ref="C218:F218"/>
    <mergeCell ref="C219:F219"/>
    <mergeCell ref="C220:F220"/>
    <mergeCell ref="C221:F221"/>
    <mergeCell ref="C222:F222"/>
    <mergeCell ref="A223:F223"/>
    <mergeCell ref="D224:F224"/>
    <mergeCell ref="C258:F258"/>
    <mergeCell ref="C259:F259"/>
    <mergeCell ref="A261:F261"/>
    <mergeCell ref="A262:F262"/>
    <mergeCell ref="D263:F263"/>
    <mergeCell ref="C287:F287"/>
    <mergeCell ref="C288:F288"/>
    <mergeCell ref="C289:F289"/>
    <mergeCell ref="C290:F290"/>
    <mergeCell ref="C291:F291"/>
    <mergeCell ref="A293:F293"/>
    <mergeCell ref="A294:F294"/>
    <mergeCell ref="D295:F295"/>
    <mergeCell ref="C324:F324"/>
    <mergeCell ref="C325:F325"/>
    <mergeCell ref="C326:F326"/>
    <mergeCell ref="C327:F327"/>
    <mergeCell ref="C328:F328"/>
    <mergeCell ref="A331:F331"/>
    <mergeCell ref="A332:F332"/>
    <mergeCell ref="D333:F333"/>
    <mergeCell ref="C361:F361"/>
    <mergeCell ref="C362:F362"/>
    <mergeCell ref="C363:F363"/>
    <mergeCell ref="C364:F364"/>
    <mergeCell ref="C365:F365"/>
    <mergeCell ref="A367:F367"/>
    <mergeCell ref="A368:F368"/>
    <mergeCell ref="D369:F369"/>
    <mergeCell ref="C399:F399"/>
    <mergeCell ref="C400:F400"/>
    <mergeCell ref="C401:F401"/>
    <mergeCell ref="C402:F402"/>
    <mergeCell ref="C403:F403"/>
    <mergeCell ref="A405:F405"/>
    <mergeCell ref="A406:F406"/>
    <mergeCell ref="D407:F407"/>
    <mergeCell ref="C437:F437"/>
    <mergeCell ref="C438:F438"/>
    <mergeCell ref="C439:F439"/>
    <mergeCell ref="C440:F440"/>
    <mergeCell ref="C441:F441"/>
    <mergeCell ref="A443:F443"/>
    <mergeCell ref="A444:F444"/>
    <mergeCell ref="D445:F445"/>
    <mergeCell ref="C470:F470"/>
    <mergeCell ref="C471:F471"/>
    <mergeCell ref="C472:F472"/>
    <mergeCell ref="C473:F473"/>
    <mergeCell ref="C474:F474"/>
    <mergeCell ref="A476:F476"/>
    <mergeCell ref="A477:F477"/>
    <mergeCell ref="D478:F478"/>
    <mergeCell ref="F480:F481"/>
    <mergeCell ref="F482:F483"/>
    <mergeCell ref="C510:F510"/>
    <mergeCell ref="C511:F511"/>
    <mergeCell ref="C512:F512"/>
    <mergeCell ref="C513:F513"/>
    <mergeCell ref="C514:F514"/>
    <mergeCell ref="C515:F515"/>
    <mergeCell ref="A516:F516"/>
    <mergeCell ref="A517:F517"/>
    <mergeCell ref="D518:F518"/>
    <mergeCell ref="C542:F542"/>
    <mergeCell ref="C543:F543"/>
    <mergeCell ref="C544:F544"/>
    <mergeCell ref="C545:F545"/>
    <mergeCell ref="C546:F546"/>
    <mergeCell ref="A548:F548"/>
    <mergeCell ref="D549:F549"/>
    <mergeCell ref="C582:F582"/>
    <mergeCell ref="C583:F583"/>
    <mergeCell ref="A584:F584"/>
    <mergeCell ref="A585:F585"/>
    <mergeCell ref="D586:F586"/>
    <mergeCell ref="F592:F594"/>
    <mergeCell ref="C626:F626"/>
    <mergeCell ref="C628:F628"/>
    <mergeCell ref="C629:F629"/>
    <mergeCell ref="C630:F630"/>
    <mergeCell ref="C631:F631"/>
    <mergeCell ref="C632:F632"/>
    <mergeCell ref="B633:B641"/>
    <mergeCell ref="C633:F641"/>
    <mergeCell ref="A642:F642"/>
    <mergeCell ref="A643:F643"/>
    <mergeCell ref="D644:F644"/>
    <mergeCell ref="A669:F669"/>
    <mergeCell ref="A670:F670"/>
    <mergeCell ref="D671:F671"/>
    <mergeCell ref="C694:F694"/>
    <mergeCell ref="C696:F696"/>
    <mergeCell ref="C697:F697"/>
    <mergeCell ref="C698:F698"/>
    <mergeCell ref="C699:F699"/>
    <mergeCell ref="C700:F700"/>
    <mergeCell ref="B701:B709"/>
    <mergeCell ref="C701:F709"/>
    <mergeCell ref="A710:F710"/>
    <mergeCell ref="D711:F711"/>
    <mergeCell ref="A728:F728"/>
    <mergeCell ref="A729:F729"/>
    <mergeCell ref="D730:F730"/>
    <mergeCell ref="A748:F748"/>
    <mergeCell ref="A749:F749"/>
    <mergeCell ref="D750:F750"/>
    <mergeCell ref="A765:F765"/>
    <mergeCell ref="A766:F766"/>
    <mergeCell ref="D767:F767"/>
    <mergeCell ref="A782:F782"/>
    <mergeCell ref="A783:F783"/>
    <mergeCell ref="D784:F784"/>
    <mergeCell ref="A806:F806"/>
    <mergeCell ref="A807:F807"/>
    <mergeCell ref="D808:F808"/>
    <mergeCell ref="A833:F833"/>
    <mergeCell ref="D834:F834"/>
    <mergeCell ref="A847:F847"/>
    <mergeCell ref="D848:F848"/>
    <mergeCell ref="A861:F861"/>
    <mergeCell ref="B862:C862"/>
    <mergeCell ref="D862:F862"/>
    <mergeCell ref="C902:F902"/>
    <mergeCell ref="C903:F903"/>
    <mergeCell ref="A904:F904"/>
    <mergeCell ref="B905:C905"/>
    <mergeCell ref="D905:F905"/>
    <mergeCell ref="C945:F945"/>
    <mergeCell ref="C946:F946"/>
    <mergeCell ref="A947:F947"/>
    <mergeCell ref="A948:F948"/>
    <mergeCell ref="D949:F949"/>
    <mergeCell ref="F959:F961"/>
    <mergeCell ref="A963:A964"/>
    <mergeCell ref="A965:A966"/>
    <mergeCell ref="A967:A968"/>
    <mergeCell ref="A998:F998"/>
    <mergeCell ref="A999:F999"/>
    <mergeCell ref="D1000:F1000"/>
    <mergeCell ref="F1010:F1012"/>
    <mergeCell ref="A1014:A1015"/>
    <mergeCell ref="A1016:A1017"/>
    <mergeCell ref="A1018:A1019"/>
    <mergeCell ref="A1048:F1048"/>
    <mergeCell ref="A1049:F1049"/>
    <mergeCell ref="D1050:F1050"/>
    <mergeCell ref="F1060:F1062"/>
    <mergeCell ref="A1064:A1065"/>
    <mergeCell ref="A1066:A1067"/>
    <mergeCell ref="A1068:A1069"/>
    <mergeCell ref="A1098:F1098"/>
    <mergeCell ref="A1099:F1099"/>
    <mergeCell ref="D1100:F1100"/>
    <mergeCell ref="A1132:F1132"/>
    <mergeCell ref="A1133:F1133"/>
    <mergeCell ref="D1134:F1134"/>
    <mergeCell ref="A1167:F1167"/>
    <mergeCell ref="B1168:C1168"/>
    <mergeCell ref="D1168:F1168"/>
    <mergeCell ref="C1209:F1209"/>
    <mergeCell ref="C1210:F1210"/>
    <mergeCell ref="A1211:F1211"/>
    <mergeCell ref="A1212:F1212"/>
    <mergeCell ref="D1213:F1213"/>
    <mergeCell ref="F1222:F1224"/>
    <mergeCell ref="A1226:A1227"/>
    <mergeCell ref="A1228:A1229"/>
    <mergeCell ref="A1230:A1231"/>
    <mergeCell ref="A1263:F1263"/>
    <mergeCell ref="D1264:F1264"/>
    <mergeCell ref="F1273:F1275"/>
    <mergeCell ref="A1277:A1278"/>
    <mergeCell ref="A1279:A1280"/>
    <mergeCell ref="A1281:A1282"/>
    <mergeCell ref="A1314:F1314"/>
    <mergeCell ref="D1315:F1315"/>
    <mergeCell ref="F1324:F1326"/>
    <mergeCell ref="A1328:A1329"/>
    <mergeCell ref="A1330:A1331"/>
    <mergeCell ref="A1332:A1333"/>
    <mergeCell ref="A1365:F1365"/>
    <mergeCell ref="D1366:F1366"/>
    <mergeCell ref="F1375:F1377"/>
    <mergeCell ref="A1379:A1380"/>
    <mergeCell ref="A1381:A1382"/>
    <mergeCell ref="A1383:A1384"/>
    <mergeCell ref="A1416:F1416"/>
    <mergeCell ref="A1417:F1417"/>
    <mergeCell ref="D1418:F1418"/>
    <mergeCell ref="C1451:F1451"/>
    <mergeCell ref="C1452:F1452"/>
    <mergeCell ref="C1453:F1453"/>
    <mergeCell ref="C1454:F1454"/>
    <mergeCell ref="C1455:F1455"/>
    <mergeCell ref="C1456:F1456"/>
    <mergeCell ref="C1457:F1457"/>
    <mergeCell ref="C1458:F1458"/>
    <mergeCell ref="C1459:F1459"/>
    <mergeCell ref="C1460:F1460"/>
    <mergeCell ref="C1461:F1461"/>
    <mergeCell ref="C1462:F1462"/>
    <mergeCell ref="A1463:F1463"/>
    <mergeCell ref="D1464:F1464"/>
    <mergeCell ref="C1480:F1480"/>
    <mergeCell ref="C1481:F1481"/>
    <mergeCell ref="A1482:F1482"/>
    <mergeCell ref="A1483:F1483"/>
    <mergeCell ref="D1484:F1484"/>
    <mergeCell ref="C1524:F1524"/>
    <mergeCell ref="C1525:F1525"/>
    <mergeCell ref="C1526:F1526"/>
    <mergeCell ref="C1527:F1527"/>
    <mergeCell ref="C1528:F1528"/>
    <mergeCell ref="C1529:F1529"/>
    <mergeCell ref="C1530:F1530"/>
    <mergeCell ref="C1531:F1531"/>
    <mergeCell ref="C1532:F1532"/>
    <mergeCell ref="C1533:F1533"/>
    <mergeCell ref="C1534:F1534"/>
    <mergeCell ref="C1535:F1535"/>
    <mergeCell ref="C1536:F1536"/>
    <mergeCell ref="A1537:F1537"/>
    <mergeCell ref="A1538:F1538"/>
    <mergeCell ref="D1539:F1539"/>
    <mergeCell ref="G1545:J1545"/>
    <mergeCell ref="C1572:F1572"/>
    <mergeCell ref="C1573:F1573"/>
    <mergeCell ref="C1574:F1574"/>
    <mergeCell ref="C1575:F1575"/>
    <mergeCell ref="C1576:F1576"/>
    <mergeCell ref="C1577:F1577"/>
    <mergeCell ref="C1578:F1578"/>
    <mergeCell ref="C1579:F1579"/>
    <mergeCell ref="C1580:F1580"/>
    <mergeCell ref="C1581:F1581"/>
    <mergeCell ref="C1582:F1582"/>
    <mergeCell ref="C1583:F1583"/>
    <mergeCell ref="A1584:F1584"/>
    <mergeCell ref="D1585:F1585"/>
    <mergeCell ref="A1593:A1594"/>
    <mergeCell ref="A1595:A1596"/>
    <mergeCell ref="A1597:A1598"/>
    <mergeCell ref="A1639:F1639"/>
    <mergeCell ref="A1640:F1640"/>
    <mergeCell ref="D1641:F1641"/>
    <mergeCell ref="G1648:J1648"/>
    <mergeCell ref="C1669:F1669"/>
    <mergeCell ref="C1670:F1670"/>
    <mergeCell ref="C1671:F1671"/>
    <mergeCell ref="C1672:F1672"/>
    <mergeCell ref="C1673:F1673"/>
    <mergeCell ref="C1674:F1674"/>
    <mergeCell ref="C1675:F1675"/>
    <mergeCell ref="C1676:F1676"/>
    <mergeCell ref="C1677:F1677"/>
    <mergeCell ref="C1678:F1678"/>
    <mergeCell ref="C1679:F1679"/>
    <mergeCell ref="A1680:F1680"/>
    <mergeCell ref="B1681:C1681"/>
    <mergeCell ref="D1681:F1681"/>
    <mergeCell ref="C1728:F1728"/>
    <mergeCell ref="C1729:F1729"/>
    <mergeCell ref="C1730:F1730"/>
    <mergeCell ref="C1731:F1731"/>
    <mergeCell ref="C1732:F1732"/>
    <mergeCell ref="C1733:F1733"/>
    <mergeCell ref="C1734:F1734"/>
    <mergeCell ref="C1735:F1735"/>
    <mergeCell ref="C1736:F1736"/>
    <mergeCell ref="C1737:F1737"/>
    <mergeCell ref="C1738:F1738"/>
    <mergeCell ref="A1739:F1739"/>
    <mergeCell ref="B1740:C1740"/>
    <mergeCell ref="D1740:F1740"/>
    <mergeCell ref="C1786:F1786"/>
    <mergeCell ref="C1787:F1787"/>
    <mergeCell ref="C1788:F1788"/>
    <mergeCell ref="C1789:F1789"/>
    <mergeCell ref="C1790:F1790"/>
    <mergeCell ref="C1791:F1791"/>
    <mergeCell ref="C1792:F1792"/>
    <mergeCell ref="C1793:F1793"/>
    <mergeCell ref="C1794:F1794"/>
    <mergeCell ref="C1795:F1795"/>
    <mergeCell ref="C1796:F1796"/>
    <mergeCell ref="A1797:F1797"/>
    <mergeCell ref="A1798:F1798"/>
    <mergeCell ref="D1799:F1799"/>
    <mergeCell ref="C1826:F1826"/>
    <mergeCell ref="C1827:F1827"/>
    <mergeCell ref="C1828:F1828"/>
    <mergeCell ref="C1829:F1829"/>
    <mergeCell ref="C1830:F1830"/>
    <mergeCell ref="C1831:F1831"/>
    <mergeCell ref="C1832:F1832"/>
    <mergeCell ref="C1833:F1833"/>
    <mergeCell ref="C1834:F1834"/>
    <mergeCell ref="C1835:F1835"/>
    <mergeCell ref="C1836:F1836"/>
    <mergeCell ref="A1837:F1837"/>
    <mergeCell ref="A1838:F1838"/>
    <mergeCell ref="D1839:F1839"/>
    <mergeCell ref="A1867:F1867"/>
    <mergeCell ref="D1868:F1868"/>
    <mergeCell ref="D1869:F1869"/>
    <mergeCell ref="F1871:F1872"/>
    <mergeCell ref="F1881:F1883"/>
    <mergeCell ref="C1895:F1895"/>
    <mergeCell ref="C1896:F1896"/>
    <mergeCell ref="C1897:F1897"/>
    <mergeCell ref="A1898:F1898"/>
    <mergeCell ref="D1899:F1899"/>
    <mergeCell ref="C1915:F1915"/>
    <mergeCell ref="C1916:F1916"/>
    <mergeCell ref="A1917:F1917"/>
    <mergeCell ref="D1918:F1918"/>
    <mergeCell ref="C1944:F1944"/>
    <mergeCell ref="C1945:F1945"/>
    <mergeCell ref="C1946:F1946"/>
    <mergeCell ref="A1947:F1947"/>
    <mergeCell ref="D1948:F1948"/>
    <mergeCell ref="C1976:F1976"/>
    <mergeCell ref="C1977:F1977"/>
    <mergeCell ref="C1978:F1978"/>
    <mergeCell ref="C1979:F1979"/>
    <mergeCell ref="C1980:F1980"/>
    <mergeCell ref="A1981:F1981"/>
    <mergeCell ref="D1982:F1982"/>
    <mergeCell ref="C2013:F2013"/>
    <mergeCell ref="C2014:F2014"/>
    <mergeCell ref="C2015:F2015"/>
    <mergeCell ref="A2016:F2016"/>
    <mergeCell ref="D2017:F2017"/>
    <mergeCell ref="C2025:F2025"/>
    <mergeCell ref="A2026:F2026"/>
    <mergeCell ref="D2027:F2027"/>
    <mergeCell ref="C2035:F2035"/>
    <mergeCell ref="A2036:F2036"/>
    <mergeCell ref="A2037:F2037"/>
    <mergeCell ref="D2038:F2038"/>
    <mergeCell ref="F2042:F2043"/>
    <mergeCell ref="G2044:J2044"/>
    <mergeCell ref="C2065:F2065"/>
    <mergeCell ref="C2066:F2066"/>
    <mergeCell ref="C2067:F2067"/>
    <mergeCell ref="C2068:F2068"/>
    <mergeCell ref="C2069:F2069"/>
    <mergeCell ref="C2070:F2070"/>
    <mergeCell ref="C2071:F2071"/>
    <mergeCell ref="C2072:F2072"/>
    <mergeCell ref="C2073:F2073"/>
    <mergeCell ref="C2074:F2074"/>
    <mergeCell ref="C2075:F2075"/>
    <mergeCell ref="A2076:F2076"/>
    <mergeCell ref="D2077:F2077"/>
    <mergeCell ref="A2082:A2083"/>
    <mergeCell ref="A2098:F2098"/>
    <mergeCell ref="D2099:F2099"/>
    <mergeCell ref="A2103:A2104"/>
    <mergeCell ref="A2112:F2112"/>
    <mergeCell ref="B2113:C2113"/>
    <mergeCell ref="D2113:F2113"/>
    <mergeCell ref="C2155:F2155"/>
    <mergeCell ref="C2156:F2156"/>
    <mergeCell ref="A2157:F2157"/>
    <mergeCell ref="D2158:F2158"/>
    <mergeCell ref="A2166:A2167"/>
    <mergeCell ref="A2168:A2169"/>
    <mergeCell ref="A2207:F2207"/>
    <mergeCell ref="D2208:F2208"/>
    <mergeCell ref="A2216:A2217"/>
    <mergeCell ref="A2250:F2250"/>
    <mergeCell ref="D2251:F2251"/>
    <mergeCell ref="A2259:A2260"/>
    <mergeCell ref="A2261:A2262"/>
    <mergeCell ref="A2301:F2301"/>
    <mergeCell ref="D2302:F2302"/>
    <mergeCell ref="A2310:A2311"/>
    <mergeCell ref="A2312:A2313"/>
    <mergeCell ref="A2351:F2351"/>
    <mergeCell ref="D2352:F2352"/>
    <mergeCell ref="A2360:A2361"/>
    <mergeCell ref="A2362:A2363"/>
    <mergeCell ref="A2401:F2401"/>
    <mergeCell ref="A2402:F2402"/>
    <mergeCell ref="D2403:F2403"/>
    <mergeCell ref="C2437:F2437"/>
    <mergeCell ref="A2438:F2438"/>
    <mergeCell ref="A2439:F2439"/>
    <mergeCell ref="D2440:F2440"/>
    <mergeCell ref="A2446:A2447"/>
    <mergeCell ref="A2448:A2450"/>
    <mergeCell ref="C2492:F2492"/>
    <mergeCell ref="C2493:F2493"/>
    <mergeCell ref="C2494:F2494"/>
    <mergeCell ref="C2495:F2495"/>
    <mergeCell ref="C2496:F2496"/>
    <mergeCell ref="C2497:F2497"/>
    <mergeCell ref="C2498:F2498"/>
    <mergeCell ref="C2499:F2499"/>
    <mergeCell ref="C2500:F2500"/>
    <mergeCell ref="C2501:F2501"/>
    <mergeCell ref="C2502:F2502"/>
    <mergeCell ref="C2503:F2503"/>
    <mergeCell ref="C2504:F2504"/>
    <mergeCell ref="A2505:F2505"/>
    <mergeCell ref="A2506:F2506"/>
    <mergeCell ref="D2507:F2507"/>
    <mergeCell ref="C2528:F2528"/>
    <mergeCell ref="C2529:F2529"/>
    <mergeCell ref="C2530:F2530"/>
    <mergeCell ref="C2531:F2531"/>
    <mergeCell ref="A2532:F2532"/>
    <mergeCell ref="D2533:F2533"/>
    <mergeCell ref="C2549:F2549"/>
    <mergeCell ref="C2550:F2550"/>
    <mergeCell ref="A2551:F2551"/>
    <mergeCell ref="B2552:C2552"/>
    <mergeCell ref="D2552:F2552"/>
    <mergeCell ref="C2598:F2598"/>
    <mergeCell ref="C2599:F2599"/>
    <mergeCell ref="C2600:F2600"/>
    <mergeCell ref="C2601:F2601"/>
    <mergeCell ref="C2602:F2602"/>
    <mergeCell ref="C2603:F2603"/>
    <mergeCell ref="C2604:F2604"/>
    <mergeCell ref="C2605:F2605"/>
    <mergeCell ref="C2606:F2606"/>
    <mergeCell ref="C2607:F2607"/>
    <mergeCell ref="C2608:F2608"/>
    <mergeCell ref="A2609:F2609"/>
    <mergeCell ref="D2610:F2610"/>
    <mergeCell ref="C2645:F2645"/>
    <mergeCell ref="C2646:F2646"/>
    <mergeCell ref="C2647:F2647"/>
    <mergeCell ref="C2648:F2648"/>
    <mergeCell ref="C2649:F2649"/>
    <mergeCell ref="C2650:F2650"/>
    <mergeCell ref="C2651:F2651"/>
    <mergeCell ref="C2652:F2652"/>
    <mergeCell ref="C2653:F2653"/>
    <mergeCell ref="C2654:F2654"/>
    <mergeCell ref="C2655:F2655"/>
    <mergeCell ref="A2656:F2656"/>
    <mergeCell ref="D2657:F2657"/>
    <mergeCell ref="C2692:F2692"/>
    <mergeCell ref="C2693:F2693"/>
    <mergeCell ref="C2694:F2694"/>
    <mergeCell ref="C2695:F2695"/>
    <mergeCell ref="C2696:F2696"/>
    <mergeCell ref="C2697:F2697"/>
    <mergeCell ref="C2698:F2698"/>
    <mergeCell ref="C2699:F2699"/>
    <mergeCell ref="C2700:F2700"/>
    <mergeCell ref="C2701:F2701"/>
    <mergeCell ref="C2702:F2702"/>
    <mergeCell ref="A2703:F2703"/>
    <mergeCell ref="D2704:F2704"/>
    <mergeCell ref="C2739:F2739"/>
    <mergeCell ref="C2740:F2740"/>
    <mergeCell ref="C2741:F2741"/>
    <mergeCell ref="C2742:F2742"/>
    <mergeCell ref="C2743:F2743"/>
    <mergeCell ref="C2744:F2744"/>
    <mergeCell ref="C2745:F2745"/>
    <mergeCell ref="C2746:F2746"/>
    <mergeCell ref="C2747:F2747"/>
    <mergeCell ref="C2748:F2748"/>
    <mergeCell ref="C2749:F2749"/>
    <mergeCell ref="A2750:F2750"/>
    <mergeCell ref="D2751:F2751"/>
    <mergeCell ref="C2786:F2786"/>
    <mergeCell ref="C2787:F2787"/>
    <mergeCell ref="C2788:F2788"/>
    <mergeCell ref="C2789:F2789"/>
    <mergeCell ref="C2790:F2790"/>
    <mergeCell ref="C2791:F2791"/>
    <mergeCell ref="C2792:F2792"/>
    <mergeCell ref="C2793:F2793"/>
    <mergeCell ref="C2794:F2794"/>
    <mergeCell ref="C2795:F2795"/>
    <mergeCell ref="C2796:F2796"/>
    <mergeCell ref="A2797:F2797"/>
    <mergeCell ref="D2798:F2798"/>
    <mergeCell ref="C2833:F2833"/>
    <mergeCell ref="C2834:F2834"/>
    <mergeCell ref="C2835:F2835"/>
    <mergeCell ref="C2836:F2836"/>
    <mergeCell ref="C2837:F2837"/>
    <mergeCell ref="C2838:F2838"/>
    <mergeCell ref="C2839:F2839"/>
    <mergeCell ref="C2840:F2840"/>
    <mergeCell ref="C2841:F2841"/>
    <mergeCell ref="C2842:F2842"/>
    <mergeCell ref="C2843:F2843"/>
    <mergeCell ref="A2844:F2844"/>
    <mergeCell ref="D2845:F2845"/>
    <mergeCell ref="C2880:F2880"/>
    <mergeCell ref="C2881:F2881"/>
    <mergeCell ref="C2882:F2882"/>
    <mergeCell ref="C2883:F2883"/>
    <mergeCell ref="C2884:F2884"/>
    <mergeCell ref="C2885:F2885"/>
    <mergeCell ref="C2886:F2886"/>
    <mergeCell ref="C2887:F2887"/>
    <mergeCell ref="C2888:F2888"/>
    <mergeCell ref="C2889:F2889"/>
    <mergeCell ref="C2890:F2890"/>
    <mergeCell ref="A2891:F2891"/>
    <mergeCell ref="D2892:F2892"/>
    <mergeCell ref="D2893:F2893"/>
    <mergeCell ref="H2898:I2898"/>
    <mergeCell ref="C2929:F2929"/>
    <mergeCell ref="C2930:F2930"/>
    <mergeCell ref="C2931:F2931"/>
    <mergeCell ref="C2932:F2932"/>
    <mergeCell ref="C2933:F2933"/>
    <mergeCell ref="C2934:F2934"/>
    <mergeCell ref="C2935:F2935"/>
    <mergeCell ref="C2936:F2936"/>
    <mergeCell ref="C2937:F2937"/>
    <mergeCell ref="C2938:F2938"/>
    <mergeCell ref="C2939:F2939"/>
    <mergeCell ref="A2940:F2940"/>
    <mergeCell ref="A2941:F2941"/>
    <mergeCell ref="D2942:F2942"/>
    <mergeCell ref="D2943:F2943"/>
    <mergeCell ref="D2944:F2944"/>
    <mergeCell ref="C2976:F2976"/>
    <mergeCell ref="C2977:F2977"/>
    <mergeCell ref="C2978:F2978"/>
    <mergeCell ref="C2979:F2979"/>
    <mergeCell ref="C2980:F2980"/>
    <mergeCell ref="C2981:F2981"/>
    <mergeCell ref="C2982:F2982"/>
    <mergeCell ref="C2983:F2983"/>
    <mergeCell ref="C2984:F2984"/>
    <mergeCell ref="C2985:F2985"/>
    <mergeCell ref="C2986:F2986"/>
    <mergeCell ref="C2987:F2988"/>
    <mergeCell ref="A2989:F2989"/>
    <mergeCell ref="A2990:F2990"/>
    <mergeCell ref="D2991:F2991"/>
    <mergeCell ref="D2992:F2992"/>
    <mergeCell ref="D2993:F2993"/>
    <mergeCell ref="C3036:F3036"/>
    <mergeCell ref="C3037:F3037"/>
    <mergeCell ref="C3038:F3038"/>
    <mergeCell ref="C3039:F3039"/>
    <mergeCell ref="C3040:F3040"/>
    <mergeCell ref="C3041:F3041"/>
    <mergeCell ref="C3042:F3042"/>
    <mergeCell ref="C3043:F3043"/>
    <mergeCell ref="C3044:F3044"/>
    <mergeCell ref="C3045:F3045"/>
    <mergeCell ref="C3046:F3046"/>
    <mergeCell ref="C3047:F3047"/>
    <mergeCell ref="B3048:B3049"/>
    <mergeCell ref="C3048:F3049"/>
    <mergeCell ref="A3050:F3050"/>
    <mergeCell ref="A3051:F3051"/>
    <mergeCell ref="D3052:F3052"/>
    <mergeCell ref="D3053:F3053"/>
    <mergeCell ref="C3079:F3079"/>
    <mergeCell ref="C3125:F3125"/>
    <mergeCell ref="C3126:F3126"/>
    <mergeCell ref="A3127:F3127"/>
    <mergeCell ref="D3128:F3128"/>
    <mergeCell ref="D3129:F3129"/>
    <mergeCell ref="C3152:F3152"/>
    <mergeCell ref="C3153:F3153"/>
    <mergeCell ref="C3080:F3080"/>
    <mergeCell ref="A3081:F3081"/>
    <mergeCell ref="D3082:F3082"/>
    <mergeCell ref="D3083:F3083"/>
    <mergeCell ref="C3102:F3102"/>
    <mergeCell ref="C3103:F3103"/>
    <mergeCell ref="A3104:F3104"/>
    <mergeCell ref="D3105:F3105"/>
    <mergeCell ref="D3106:F3106"/>
  </mergeCells>
  <hyperlinks>
    <hyperlink ref="C626" r:id="rId1" xr:uid="{00000000-0004-0000-0100-000000000000}"/>
    <hyperlink ref="C694" r:id="rId2" xr:uid="{00000000-0004-0000-0100-000001000000}"/>
    <hyperlink ref="C1451" r:id="rId3" xr:uid="{00000000-0004-0000-0100-000002000000}"/>
    <hyperlink ref="C1452" r:id="rId4" xr:uid="{00000000-0004-0000-0100-000003000000}"/>
    <hyperlink ref="C1524" r:id="rId5" xr:uid="{00000000-0004-0000-0100-000004000000}"/>
    <hyperlink ref="C1525" r:id="rId6" xr:uid="{00000000-0004-0000-0100-000005000000}"/>
    <hyperlink ref="C1572" r:id="rId7" xr:uid="{00000000-0004-0000-0100-000006000000}"/>
    <hyperlink ref="C1573" r:id="rId8" xr:uid="{00000000-0004-0000-0100-000007000000}"/>
    <hyperlink ref="C1670" r:id="rId9" xr:uid="{00000000-0004-0000-0100-000008000000}"/>
    <hyperlink ref="C1728" r:id="rId10" xr:uid="{00000000-0004-0000-0100-000009000000}"/>
    <hyperlink ref="C1729" r:id="rId11" xr:uid="{00000000-0004-0000-0100-00000A000000}"/>
    <hyperlink ref="C1786" r:id="rId12" xr:uid="{00000000-0004-0000-0100-00000B000000}"/>
    <hyperlink ref="C1787" r:id="rId13" xr:uid="{00000000-0004-0000-0100-00000C000000}"/>
    <hyperlink ref="C1826" r:id="rId14" xr:uid="{00000000-0004-0000-0100-00000D000000}"/>
    <hyperlink ref="C1827" r:id="rId15" xr:uid="{00000000-0004-0000-0100-00000E000000}"/>
    <hyperlink ref="C2013" r:id="rId16" xr:uid="{00000000-0004-0000-0100-00000F000000}"/>
    <hyperlink ref="C2066" r:id="rId17" xr:uid="{00000000-0004-0000-0100-000010000000}"/>
    <hyperlink ref="C2492" r:id="rId18" xr:uid="{00000000-0004-0000-0100-000011000000}"/>
    <hyperlink ref="C2492:F2492" r:id="rId19" display="https://disk.360.yandex.ru/d/kldUo5jpK-7x8w" xr:uid="{00000000-0004-0000-0100-000012000000}"/>
    <hyperlink ref="C2493" r:id="rId20" xr:uid="{00000000-0004-0000-0100-000013000000}"/>
    <hyperlink ref="C2493:F2493" r:id="rId21" display="https://zakupki.kontur.ru/0360300225126000003?utm_source=zakupki&amp;utm_medium=excel&amp;utm_campaign=zakupki_export&amp;utm_content=e9f51aa1-e3e5-4f97-8ee7-a8d39d80cbf9" xr:uid="{00000000-0004-0000-0100-000014000000}"/>
    <hyperlink ref="C2528" r:id="rId22" xr:uid="{00000000-0004-0000-0100-000015000000}"/>
    <hyperlink ref="C2529" r:id="rId23" xr:uid="{00000000-0004-0000-0100-000016000000}"/>
    <hyperlink ref="C2645" r:id="rId24" xr:uid="{00000000-0004-0000-0100-000017000000}"/>
    <hyperlink ref="C2646" r:id="rId25" xr:uid="{00000000-0004-0000-0100-000018000000}"/>
    <hyperlink ref="C2692" r:id="rId26" xr:uid="{00000000-0004-0000-0100-000019000000}"/>
    <hyperlink ref="C2693" r:id="rId27" xr:uid="{00000000-0004-0000-0100-00001A000000}"/>
    <hyperlink ref="C2739" r:id="rId28" xr:uid="{00000000-0004-0000-0100-00001B000000}"/>
    <hyperlink ref="C2740" r:id="rId29" xr:uid="{00000000-0004-0000-0100-00001C000000}"/>
    <hyperlink ref="C2786" r:id="rId30" xr:uid="{00000000-0004-0000-0100-00001D000000}"/>
    <hyperlink ref="C2787" r:id="rId31" xr:uid="{00000000-0004-0000-0100-00001E000000}"/>
    <hyperlink ref="C2834" r:id="rId32" xr:uid="{00000000-0004-0000-0100-00001F000000}"/>
    <hyperlink ref="C2881" r:id="rId33" xr:uid="{00000000-0004-0000-0100-000020000000}"/>
    <hyperlink ref="C2929" r:id="rId34" xr:uid="{00000000-0004-0000-0100-000021000000}"/>
    <hyperlink ref="C2977" r:id="rId35" xr:uid="{00000000-0004-0000-0100-000022000000}"/>
    <hyperlink ref="C3036" r:id="rId36" xr:uid="{00000000-0004-0000-0100-000023000000}"/>
    <hyperlink ref="C3037" r:id="rId37" xr:uid="{00000000-0004-0000-0100-000024000000}"/>
  </hyperlinks>
  <pageMargins left="0.70866141732283461" right="0.39370078740157477" top="7.4803149606299205E-2" bottom="0.18110236220472442" header="0.51181102362204722" footer="0.51181102362204722"/>
  <pageSetup paperSize="9" scale="50" fitToHeight="0" orientation="landscape" useFirstPageNumber="1" r:id="rId38"/>
  <drawing r:id="rId39"/>
  <legacy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В РАБОТЕ</vt:lpstr>
      <vt:lpstr>ПРЕДВАРИТЕЛЬНЫЕ проекты</vt:lpstr>
      <vt:lpstr>'В РАБОТЕ'!Print_Area</vt:lpstr>
      <vt:lpstr>'ПРЕДВАРИТЕЛЬНЫЕ проекты'!Print_Area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Professional</dc:creator>
  <dc:description/>
  <cp:lastModifiedBy>Professional</cp:lastModifiedBy>
  <cp:revision>50</cp:revision>
  <dcterms:created xsi:type="dcterms:W3CDTF">2023-08-25T14:01:22Z</dcterms:created>
  <dcterms:modified xsi:type="dcterms:W3CDTF">2026-06-29T06:02:40Z</dcterms:modified>
  <dc:language>ru-RU</dc:language>
</cp:coreProperties>
</file>